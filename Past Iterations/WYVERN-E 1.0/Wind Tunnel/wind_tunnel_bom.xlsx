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<sst xmlns="http://schemas.openxmlformats.org/spreadsheetml/2006/main" count="151" uniqueCount="100">
  <si>
    <t xml:space="preserve">DESKTOP WIND TUNNEL — BILL OF MATERIALS</t>
  </si>
  <si>
    <t xml:space="preserve">Eiffel-type open-circuit tunnel · 120 mm fan · 70 cm length · 200 mm inlet · 100 mm test section  | STATUS KEY:  🟢 Already owned   🔵 3D Print   🛒 Buy</t>
  </si>
  <si>
    <t xml:space="preserve">#</t>
  </si>
  <si>
    <t xml:space="preserve">Part / Item</t>
  </si>
  <si>
    <t xml:space="preserve">Qty</t>
  </si>
  <si>
    <t xml:space="preserve">Unit</t>
  </si>
  <si>
    <t xml:space="preserve">Est. £</t>
  </si>
  <si>
    <t xml:space="preserve">Line £</t>
  </si>
  <si>
    <t xml:space="preserve">Status</t>
  </si>
  <si>
    <t xml:space="preserve">Notes &amp; Search Term</t>
  </si>
  <si>
    <t xml:space="preserve">ALREADY OWNED (zero cost)</t>
  </si>
  <si>
    <t xml:space="preserve">120 mm PC axial fan</t>
  </si>
  <si>
    <t xml:space="preserve">unit</t>
  </si>
  <si>
    <t xml:space="preserve">🟢 Owned</t>
  </si>
  <si>
    <t xml:space="preserve">You have this — check CFM rating on label, aim ≥ 70 CFM</t>
  </si>
  <si>
    <t xml:space="preserve">12 V battery</t>
  </si>
  <si>
    <t xml:space="preserve">You have this — verify it can deliver ≥ 2 A continuous</t>
  </si>
  <si>
    <t xml:space="preserve">3D printer + filament (PETG)</t>
  </si>
  <si>
    <t xml:space="preserve">Use PETG for heat &amp; warp resistance in all printed parts</t>
  </si>
  <si>
    <t xml:space="preserve">Acrylic sheet (3–4 mm)</t>
  </si>
  <si>
    <t xml:space="preserve">lot</t>
  </si>
  <si>
    <t xml:space="preserve">Side panels, top/bottom of tunnel box — cut to size</t>
  </si>
  <si>
    <t xml:space="preserve">3D PRINTED PARTS — search terms for Printables / Thingiverse / Makerworld</t>
  </si>
  <si>
    <t xml:space="preserve">Bell-mouth inlet (200 mm → 155 mm)</t>
  </si>
  <si>
    <t xml:space="preserve">print</t>
  </si>
  <si>
    <t xml:space="preserve">🔵 3D Print</t>
  </si>
  <si>
    <t xml:space="preserve">Search: "wind tunnel bell mouth inlet 200mm" — elliptical profile, ~80 mm deep</t>
  </si>
  <si>
    <t xml:space="preserve">Honeycomb flow straightener insert</t>
  </si>
  <si>
    <t xml:space="preserve">Search: "wind tunnel honeycomb insert" — 6 mm hex cells, fits 155 mm duct</t>
  </si>
  <si>
    <t xml:space="preserve">Contraction cone (155 mm → 120 mm)</t>
  </si>
  <si>
    <t xml:space="preserve">Search: "wind tunnel contraction nozzle" — 5th-order polynomial profile, 4:1 area ratio</t>
  </si>
  <si>
    <t xml:space="preserve">Test section rear wall + sting port</t>
  </si>
  <si>
    <t xml:space="preserve">Search: "wind tunnel model mount sting" — 8 mm centre hole, bolt flange for acrylic tube</t>
  </si>
  <si>
    <t xml:space="preserve">Test section front end-cap</t>
  </si>
  <si>
    <t xml:space="preserve">Search: "wind tunnel end cap flange" — slip fit onto 120 mm acrylic tube, open centre</t>
  </si>
  <si>
    <t xml:space="preserve">Diffuser (120 mm → 155 mm)</t>
  </si>
  <si>
    <t xml:space="preserve">Search: "wind tunnel diffuser 7 degree" — ≤7° half-angle, 110 mm long</t>
  </si>
  <si>
    <t xml:space="preserve">Fan mount / shroud (120 mm)</t>
  </si>
  <si>
    <t xml:space="preserve">Search: "120mm fan duct mount flange" — square-to-round, bolt holes match fan corners</t>
  </si>
  <si>
    <t xml:space="preserve">Sting mount rod clamp (for rocket)</t>
  </si>
  <si>
    <t xml:space="preserve">Search: "model rocket sting mount clamp" — saddle clamp for 8 mm rod, adjustable angle</t>
  </si>
  <si>
    <t xml:space="preserve">PWM controller housing / panel</t>
  </si>
  <si>
    <t xml:space="preserve">Search: "electronics enclosure PWM module" — pocket for 38×26 mm PWM board + knob hole</t>
  </si>
  <si>
    <t xml:space="preserve">BUY — TUNNEL STRUCTURE</t>
  </si>
  <si>
    <t xml:space="preserve">Acrylic tube 120 mm OD × 2 mm wall</t>
  </si>
  <si>
    <t xml:space="preserve">200mm</t>
  </si>
  <si>
    <t xml:space="preserve">🛒 Buy</t>
  </si>
  <si>
    <t xml:space="preserve">Test section tube — clear, 120 mm OD × ~200 mm length. Search: "clear acrylic tube 120mm OD"</t>
  </si>
  <si>
    <t xml:space="preserve">MDF sheet 6 mm</t>
  </si>
  <si>
    <t xml:space="preserve">A2</t>
  </si>
  <si>
    <t xml:space="preserve">Tunnel box side panels (cut to ~700 × 200 mm). DIY store offcut is fine</t>
  </si>
  <si>
    <t xml:space="preserve">Foam weatherstrip tape 10 mm × 3 mm</t>
  </si>
  <si>
    <t xml:space="preserve">metre</t>
  </si>
  <si>
    <t xml:space="preserve">Seal all panel joints airtight — any hardware store draught-excluder foam strip</t>
  </si>
  <si>
    <t xml:space="preserve">Hot glue sticks</t>
  </si>
  <si>
    <t xml:space="preserve">pack</t>
  </si>
  <si>
    <t xml:space="preserve">Internal seaming of printed parts to MDF — 11 mm sticks</t>
  </si>
  <si>
    <t xml:space="preserve">BUY — FLOW CONDITIONING (most critical)</t>
  </si>
  <si>
    <t xml:space="preserve">Aluminium honeycomb sheet 6 mm cell</t>
  </si>
  <si>
    <t xml:space="preserve">150×150mm</t>
  </si>
  <si>
    <t xml:space="preserve">Search: "aluminium honeycomb core 6mm cell" — cut to 155 mm circle. MOST IMPORTANT item</t>
  </si>
  <si>
    <t xml:space="preserve">Wire mesh / fly screen (1 mm grid)</t>
  </si>
  <si>
    <t xml:space="preserve">300×300mm</t>
  </si>
  <si>
    <t xml:space="preserve">2 layers behind honeycomb. Search: "stainless woven wire mesh 1mm" or window screen mesh</t>
  </si>
  <si>
    <t xml:space="preserve">BUY — ELECTRONICS</t>
  </si>
  <si>
    <t xml:space="preserve">PWM fan speed controller module</t>
  </si>
  <si>
    <t xml:space="preserve">Search: "DC PWM speed controller 12V 3A" — sets fan RPM via knob. ~38×26 mm board</t>
  </si>
  <si>
    <t xml:space="preserve">DC power connector (XT60 or barrel)</t>
  </si>
  <si>
    <t xml:space="preserve">Match your battery connector. Search: "XT60 male female pair" or "5.5mm barrel connector"</t>
  </si>
  <si>
    <t xml:space="preserve">Hookup wire 22 AWG</t>
  </si>
  <si>
    <t xml:space="preserve">Fan to PWM module wiring. Red + black, 22 AWG, any electronics supplier</t>
  </si>
  <si>
    <t xml:space="preserve">BUY — INSTRUMENTATION</t>
  </si>
  <si>
    <t xml:space="preserve">Pitot-static tube (4 mm brass tube)</t>
  </si>
  <si>
    <t xml:space="preserve">4 mm OD brass tube, bent 90°. Search: "4mm brass tube hobby" — cut &amp; bend yourself</t>
  </si>
  <si>
    <t xml:space="preserve">Silicone tube 4 mm ID</t>
  </si>
  <si>
    <t xml:space="preserve">Connects pitot tube to manometer. Search: "silicone tubing 4mm ID"</t>
  </si>
  <si>
    <t xml:space="preserve">Digital differential manometer</t>
  </si>
  <si>
    <t xml:space="preserve">Search: "digital manometer dual port" — reads ±200 Pa range, USB power OK</t>
  </si>
  <si>
    <t xml:space="preserve">Sewing thread (tufts)</t>
  </si>
  <si>
    <t xml:space="preserve">reel</t>
  </si>
  <si>
    <t xml:space="preserve">Glue 50 mm lengths to rocket surface to visualise flow. Any colour. Free from a sewing kit</t>
  </si>
  <si>
    <t xml:space="preserve">BUY — HARDWARE &amp; FASTENERS</t>
  </si>
  <si>
    <t xml:space="preserve">M3 × 12 mm socket-head bolts</t>
  </si>
  <si>
    <t xml:space="preserve">Panel assembly + fan mount. M3 × 12 mm, stainless or zinc</t>
  </si>
  <si>
    <t xml:space="preserve">M3 hex nuts</t>
  </si>
  <si>
    <t xml:space="preserve">Pairs with above. Nyloc preferred to resist vibration</t>
  </si>
  <si>
    <t xml:space="preserve">M3 washers</t>
  </si>
  <si>
    <t xml:space="preserve">Distribute load on MDF and printed parts</t>
  </si>
  <si>
    <t xml:space="preserve">8 mm aluminium rod (sting)</t>
  </si>
  <si>
    <t xml:space="preserve">300mm</t>
  </si>
  <si>
    <t xml:space="preserve">Rocket sting mount. Search: "8mm aluminium round bar" — cut to ~300 mm</t>
  </si>
  <si>
    <t xml:space="preserve">M8 nut + washer (sting retention)</t>
  </si>
  <si>
    <t xml:space="preserve">Clamps sting rod at rear wall. Standard M8 nut × 2 + washer</t>
  </si>
  <si>
    <t xml:space="preserve">Sandpaper 120 + 240 grit</t>
  </si>
  <si>
    <t xml:space="preserve">Sand inner tunnel surfaces smooth to reduce wall drag</t>
  </si>
  <si>
    <t xml:space="preserve">Spray filler primer</t>
  </si>
  <si>
    <t xml:space="preserve">can</t>
  </si>
  <si>
    <t xml:space="preserve">Seal MDF inner surfaces. Sand flush — internal surface finish matters for flow quality</t>
  </si>
  <si>
    <t xml:space="preserve">ESTIMATED TOTAL SPEND (parts to buy)</t>
  </si>
  <si>
    <t xml:space="preserve">NOTES:  All 3D printed parts in PETG (not PLA — fans generate heat).  Contraction cone is the hardest print — slice at 0.15 mm layer, 4 walls, 40% infill.  Seal all printed-to-panel joints with hot glue before sanding flush.  Fan wiring: red → PWM OUT+, black → PWM OUT−, no need for fan tach wire.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</si>
</sst>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—"/>
    <numFmt numFmtId="166" formatCode="\£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E2E8F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2E8F4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2874A6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AFAF1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F8F9FA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FFFDE7"/>
        <bgColor rgb="FFFDFE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AAAAAA"/>
      </top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0C0C0"/>
      <rgbColor rgb="FF888888"/>
      <rgbColor rgb="FF9999FF"/>
      <rgbColor rgb="FF993366"/>
      <rgbColor rgb="FFFFFDE7"/>
      <rgbColor rgb="FFEAFA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2E8F4"/>
      <rgbColor rgb="FFF8F9FA"/>
      <rgbColor rgb="FF99CCFF"/>
      <rgbColor rgb="FFFF99CC"/>
      <rgbColor rgb="FFCC99FF"/>
      <rgbColor rgb="FFFDFEFE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6213E"/>
      <rgbColor rgb="FF1E8449"/>
      <rgbColor rgb="FF003300"/>
      <rgbColor rgb="FF1A1A2E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n">
        <v>1</v>
      </c>
      <c r="B5" s="6" t="s">
        <v>11</v>
      </c>
      <c r="C5" s="7" t="n">
        <v>1</v>
      </c>
      <c r="D5" s="8" t="s">
        <v>12</v>
      </c>
      <c r="E5" s="9" t="n">
        <v>0</v>
      </c>
      <c r="F5" s="10" t="n">
        <v>0</v>
      </c>
      <c r="G5" s="11" t="s">
        <v>13</v>
      </c>
      <c r="H5" s="12" t="s">
        <v>14</v>
      </c>
    </row>
    <row r="6" customFormat="false" ht="27.75" hidden="false" customHeight="true" outlineLevel="0" collapsed="false">
      <c r="A6" s="5" t="n">
        <v>2</v>
      </c>
      <c r="B6" s="6" t="s">
        <v>15</v>
      </c>
      <c r="C6" s="7" t="n">
        <v>1</v>
      </c>
      <c r="D6" s="8" t="s">
        <v>12</v>
      </c>
      <c r="E6" s="9" t="n">
        <v>0</v>
      </c>
      <c r="F6" s="10" t="n">
        <v>0</v>
      </c>
      <c r="G6" s="11" t="s">
        <v>13</v>
      </c>
      <c r="H6" s="12" t="s">
        <v>16</v>
      </c>
    </row>
    <row r="7" customFormat="false" ht="27.75" hidden="false" customHeight="true" outlineLevel="0" collapsed="false">
      <c r="A7" s="5" t="n">
        <v>3</v>
      </c>
      <c r="B7" s="6" t="s">
        <v>17</v>
      </c>
      <c r="C7" s="7" t="n">
        <v>1</v>
      </c>
      <c r="D7" s="8" t="s">
        <v>12</v>
      </c>
      <c r="E7" s="9" t="n">
        <v>0</v>
      </c>
      <c r="F7" s="10" t="n">
        <v>0</v>
      </c>
      <c r="G7" s="11" t="s">
        <v>13</v>
      </c>
      <c r="H7" s="12" t="s">
        <v>18</v>
      </c>
    </row>
    <row r="8" customFormat="false" ht="27.75" hidden="false" customHeight="true" outlineLevel="0" collapsed="false">
      <c r="A8" s="5" t="n">
        <v>4</v>
      </c>
      <c r="B8" s="6" t="s">
        <v>19</v>
      </c>
      <c r="C8" s="7" t="n">
        <v>1</v>
      </c>
      <c r="D8" s="8" t="s">
        <v>20</v>
      </c>
      <c r="E8" s="9" t="n">
        <v>0</v>
      </c>
      <c r="F8" s="10" t="n">
        <v>0</v>
      </c>
      <c r="G8" s="11" t="s">
        <v>13</v>
      </c>
      <c r="H8" s="12" t="s">
        <v>21</v>
      </c>
    </row>
    <row r="9" customFormat="false" ht="18" hidden="false" customHeight="true" outlineLevel="0" collapsed="false">
      <c r="A9" s="4" t="s">
        <v>22</v>
      </c>
      <c r="B9" s="4"/>
      <c r="C9" s="4"/>
      <c r="D9" s="4"/>
      <c r="E9" s="4"/>
      <c r="F9" s="4"/>
      <c r="G9" s="4"/>
      <c r="H9" s="4"/>
    </row>
    <row r="10" customFormat="false" ht="27.75" hidden="false" customHeight="true" outlineLevel="0" collapsed="false">
      <c r="A10" s="13" t="n">
        <v>5</v>
      </c>
      <c r="B10" s="14" t="s">
        <v>23</v>
      </c>
      <c r="C10" s="15" t="n">
        <v>1</v>
      </c>
      <c r="D10" s="16" t="s">
        <v>24</v>
      </c>
      <c r="E10" s="17" t="n">
        <v>0</v>
      </c>
      <c r="F10" s="18" t="n">
        <v>0</v>
      </c>
      <c r="G10" s="19" t="s">
        <v>25</v>
      </c>
      <c r="H10" s="20" t="s">
        <v>26</v>
      </c>
    </row>
    <row r="11" customFormat="false" ht="27.75" hidden="false" customHeight="true" outlineLevel="0" collapsed="false">
      <c r="A11" s="13" t="n">
        <v>6</v>
      </c>
      <c r="B11" s="14" t="s">
        <v>27</v>
      </c>
      <c r="C11" s="15" t="n">
        <v>1</v>
      </c>
      <c r="D11" s="16" t="s">
        <v>24</v>
      </c>
      <c r="E11" s="17" t="n">
        <v>0</v>
      </c>
      <c r="F11" s="18" t="n">
        <v>0</v>
      </c>
      <c r="G11" s="19" t="s">
        <v>25</v>
      </c>
      <c r="H11" s="20" t="s">
        <v>28</v>
      </c>
    </row>
    <row r="12" customFormat="false" ht="27.75" hidden="false" customHeight="true" outlineLevel="0" collapsed="false">
      <c r="A12" s="13" t="n">
        <v>7</v>
      </c>
      <c r="B12" s="14" t="s">
        <v>29</v>
      </c>
      <c r="C12" s="15" t="n">
        <v>1</v>
      </c>
      <c r="D12" s="16" t="s">
        <v>24</v>
      </c>
      <c r="E12" s="17" t="n">
        <v>0</v>
      </c>
      <c r="F12" s="18" t="n">
        <v>0</v>
      </c>
      <c r="G12" s="19" t="s">
        <v>25</v>
      </c>
      <c r="H12" s="20" t="s">
        <v>30</v>
      </c>
    </row>
    <row r="13" customFormat="false" ht="27.75" hidden="false" customHeight="true" outlineLevel="0" collapsed="false">
      <c r="A13" s="13" t="n">
        <v>8</v>
      </c>
      <c r="B13" s="14" t="s">
        <v>31</v>
      </c>
      <c r="C13" s="15" t="n">
        <v>1</v>
      </c>
      <c r="D13" s="16" t="s">
        <v>24</v>
      </c>
      <c r="E13" s="17" t="n">
        <v>0</v>
      </c>
      <c r="F13" s="18" t="n">
        <v>0</v>
      </c>
      <c r="G13" s="19" t="s">
        <v>25</v>
      </c>
      <c r="H13" s="20" t="s">
        <v>32</v>
      </c>
    </row>
    <row r="14" customFormat="false" ht="27.75" hidden="false" customHeight="true" outlineLevel="0" collapsed="false">
      <c r="A14" s="13" t="n">
        <v>9</v>
      </c>
      <c r="B14" s="14" t="s">
        <v>33</v>
      </c>
      <c r="C14" s="15" t="n">
        <v>1</v>
      </c>
      <c r="D14" s="16" t="s">
        <v>24</v>
      </c>
      <c r="E14" s="17" t="n">
        <v>0</v>
      </c>
      <c r="F14" s="18" t="n">
        <v>0</v>
      </c>
      <c r="G14" s="19" t="s">
        <v>25</v>
      </c>
      <c r="H14" s="20" t="s">
        <v>34</v>
      </c>
    </row>
    <row r="15" customFormat="false" ht="27.75" hidden="false" customHeight="true" outlineLevel="0" collapsed="false">
      <c r="A15" s="13" t="n">
        <v>10</v>
      </c>
      <c r="B15" s="14" t="s">
        <v>35</v>
      </c>
      <c r="C15" s="15" t="n">
        <v>1</v>
      </c>
      <c r="D15" s="16" t="s">
        <v>24</v>
      </c>
      <c r="E15" s="17" t="n">
        <v>0</v>
      </c>
      <c r="F15" s="18" t="n">
        <v>0</v>
      </c>
      <c r="G15" s="19" t="s">
        <v>25</v>
      </c>
      <c r="H15" s="20" t="s">
        <v>36</v>
      </c>
    </row>
    <row r="16" customFormat="false" ht="27.75" hidden="false" customHeight="true" outlineLevel="0" collapsed="false">
      <c r="A16" s="13" t="n">
        <v>11</v>
      </c>
      <c r="B16" s="14" t="s">
        <v>37</v>
      </c>
      <c r="C16" s="15" t="n">
        <v>1</v>
      </c>
      <c r="D16" s="16" t="s">
        <v>24</v>
      </c>
      <c r="E16" s="17" t="n">
        <v>0</v>
      </c>
      <c r="F16" s="18" t="n">
        <v>0</v>
      </c>
      <c r="G16" s="19" t="s">
        <v>25</v>
      </c>
      <c r="H16" s="20" t="s">
        <v>38</v>
      </c>
    </row>
    <row r="17" customFormat="false" ht="27.75" hidden="false" customHeight="true" outlineLevel="0" collapsed="false">
      <c r="A17" s="13" t="n">
        <v>12</v>
      </c>
      <c r="B17" s="14" t="s">
        <v>39</v>
      </c>
      <c r="C17" s="15" t="n">
        <v>1</v>
      </c>
      <c r="D17" s="16" t="s">
        <v>24</v>
      </c>
      <c r="E17" s="17" t="n">
        <v>0</v>
      </c>
      <c r="F17" s="18" t="n">
        <v>0</v>
      </c>
      <c r="G17" s="19" t="s">
        <v>25</v>
      </c>
      <c r="H17" s="20" t="s">
        <v>40</v>
      </c>
    </row>
    <row r="18" customFormat="false" ht="27.75" hidden="false" customHeight="true" outlineLevel="0" collapsed="false">
      <c r="A18" s="13" t="n">
        <v>13</v>
      </c>
      <c r="B18" s="14" t="s">
        <v>41</v>
      </c>
      <c r="C18" s="15" t="n">
        <v>1</v>
      </c>
      <c r="D18" s="16" t="s">
        <v>24</v>
      </c>
      <c r="E18" s="17" t="n">
        <v>0</v>
      </c>
      <c r="F18" s="18" t="n">
        <v>0</v>
      </c>
      <c r="G18" s="19" t="s">
        <v>25</v>
      </c>
      <c r="H18" s="20" t="s">
        <v>42</v>
      </c>
    </row>
    <row r="19" customFormat="false" ht="18" hidden="false" customHeight="true" outlineLevel="0" collapsed="false">
      <c r="A19" s="4" t="s">
        <v>43</v>
      </c>
      <c r="B19" s="4"/>
      <c r="C19" s="4"/>
      <c r="D19" s="4"/>
      <c r="E19" s="4"/>
      <c r="F19" s="4"/>
      <c r="G19" s="4"/>
      <c r="H19" s="4"/>
    </row>
    <row r="20" customFormat="false" ht="27.75" hidden="false" customHeight="true" outlineLevel="0" collapsed="false">
      <c r="A20" s="21" t="n">
        <v>14</v>
      </c>
      <c r="B20" s="22" t="s">
        <v>44</v>
      </c>
      <c r="C20" s="23" t="n">
        <v>1</v>
      </c>
      <c r="D20" s="24" t="s">
        <v>45</v>
      </c>
      <c r="E20" s="25" t="n">
        <v>6</v>
      </c>
      <c r="F20" s="26" t="n">
        <f aca="false">C20*E20</f>
        <v>6</v>
      </c>
      <c r="G20" s="27" t="s">
        <v>46</v>
      </c>
      <c r="H20" s="28" t="s">
        <v>47</v>
      </c>
    </row>
    <row r="21" customFormat="false" ht="27.75" hidden="false" customHeight="true" outlineLevel="0" collapsed="false">
      <c r="A21" s="29" t="n">
        <v>15</v>
      </c>
      <c r="B21" s="30" t="s">
        <v>48</v>
      </c>
      <c r="C21" s="31" t="n">
        <v>1</v>
      </c>
      <c r="D21" s="32" t="s">
        <v>49</v>
      </c>
      <c r="E21" s="33" t="n">
        <v>4.5</v>
      </c>
      <c r="F21" s="34" t="n">
        <f aca="false">C21*E21</f>
        <v>4.5</v>
      </c>
      <c r="G21" s="35" t="s">
        <v>46</v>
      </c>
      <c r="H21" s="36" t="s">
        <v>50</v>
      </c>
    </row>
    <row r="22" customFormat="false" ht="27.75" hidden="false" customHeight="true" outlineLevel="0" collapsed="false">
      <c r="A22" s="21" t="n">
        <v>16</v>
      </c>
      <c r="B22" s="22" t="s">
        <v>51</v>
      </c>
      <c r="C22" s="23" t="n">
        <v>2</v>
      </c>
      <c r="D22" s="24" t="s">
        <v>52</v>
      </c>
      <c r="E22" s="25" t="n">
        <v>2</v>
      </c>
      <c r="F22" s="26" t="n">
        <f aca="false">C22*E22</f>
        <v>4</v>
      </c>
      <c r="G22" s="27" t="s">
        <v>46</v>
      </c>
      <c r="H22" s="28" t="s">
        <v>53</v>
      </c>
    </row>
    <row r="23" customFormat="false" ht="27.75" hidden="false" customHeight="true" outlineLevel="0" collapsed="false">
      <c r="A23" s="29" t="n">
        <v>17</v>
      </c>
      <c r="B23" s="30" t="s">
        <v>54</v>
      </c>
      <c r="C23" s="31" t="n">
        <v>1</v>
      </c>
      <c r="D23" s="32" t="s">
        <v>55</v>
      </c>
      <c r="E23" s="33" t="n">
        <v>2</v>
      </c>
      <c r="F23" s="34" t="n">
        <f aca="false">C23*E23</f>
        <v>2</v>
      </c>
      <c r="G23" s="35" t="s">
        <v>46</v>
      </c>
      <c r="H23" s="36" t="s">
        <v>56</v>
      </c>
    </row>
    <row r="24" customFormat="false" ht="18" hidden="false" customHeight="true" outlineLevel="0" collapsed="false">
      <c r="A24" s="4" t="s">
        <v>57</v>
      </c>
      <c r="B24" s="4"/>
      <c r="C24" s="4"/>
      <c r="D24" s="4"/>
      <c r="E24" s="4"/>
      <c r="F24" s="4"/>
      <c r="G24" s="4"/>
      <c r="H24" s="4"/>
    </row>
    <row r="25" customFormat="false" ht="27.75" hidden="false" customHeight="true" outlineLevel="0" collapsed="false">
      <c r="A25" s="29" t="n">
        <v>18</v>
      </c>
      <c r="B25" s="30" t="s">
        <v>58</v>
      </c>
      <c r="C25" s="31" t="n">
        <v>1</v>
      </c>
      <c r="D25" s="32" t="s">
        <v>59</v>
      </c>
      <c r="E25" s="33" t="n">
        <v>5</v>
      </c>
      <c r="F25" s="34" t="n">
        <f aca="false">C25*E25</f>
        <v>5</v>
      </c>
      <c r="G25" s="35" t="s">
        <v>46</v>
      </c>
      <c r="H25" s="36" t="s">
        <v>60</v>
      </c>
    </row>
    <row r="26" customFormat="false" ht="27.75" hidden="false" customHeight="true" outlineLevel="0" collapsed="false">
      <c r="A26" s="21" t="n">
        <v>19</v>
      </c>
      <c r="B26" s="22" t="s">
        <v>61</v>
      </c>
      <c r="C26" s="23" t="n">
        <v>1</v>
      </c>
      <c r="D26" s="24" t="s">
        <v>62</v>
      </c>
      <c r="E26" s="25" t="n">
        <v>3</v>
      </c>
      <c r="F26" s="26" t="n">
        <f aca="false">C26*E26</f>
        <v>3</v>
      </c>
      <c r="G26" s="27" t="s">
        <v>46</v>
      </c>
      <c r="H26" s="28" t="s">
        <v>63</v>
      </c>
    </row>
    <row r="27" customFormat="false" ht="18" hidden="false" customHeight="true" outlineLevel="0" collapsed="false">
      <c r="A27" s="4" t="s">
        <v>64</v>
      </c>
      <c r="B27" s="4"/>
      <c r="C27" s="4"/>
      <c r="D27" s="4"/>
      <c r="E27" s="4"/>
      <c r="F27" s="4"/>
      <c r="G27" s="4"/>
      <c r="H27" s="4"/>
    </row>
    <row r="28" customFormat="false" ht="27.75" hidden="false" customHeight="true" outlineLevel="0" collapsed="false">
      <c r="A28" s="21" t="n">
        <v>20</v>
      </c>
      <c r="B28" s="22" t="s">
        <v>65</v>
      </c>
      <c r="C28" s="23" t="n">
        <v>1</v>
      </c>
      <c r="D28" s="24" t="s">
        <v>12</v>
      </c>
      <c r="E28" s="25" t="n">
        <v>3.5</v>
      </c>
      <c r="F28" s="26" t="n">
        <f aca="false">C28*E28</f>
        <v>3.5</v>
      </c>
      <c r="G28" s="27" t="s">
        <v>46</v>
      </c>
      <c r="H28" s="28" t="s">
        <v>66</v>
      </c>
    </row>
    <row r="29" customFormat="false" ht="27.75" hidden="false" customHeight="true" outlineLevel="0" collapsed="false">
      <c r="A29" s="29" t="n">
        <v>21</v>
      </c>
      <c r="B29" s="30" t="s">
        <v>67</v>
      </c>
      <c r="C29" s="31" t="n">
        <v>2</v>
      </c>
      <c r="D29" s="32" t="s">
        <v>12</v>
      </c>
      <c r="E29" s="33" t="n">
        <v>1.5</v>
      </c>
      <c r="F29" s="34" t="n">
        <f aca="false">C29*E29</f>
        <v>3</v>
      </c>
      <c r="G29" s="35" t="s">
        <v>46</v>
      </c>
      <c r="H29" s="36" t="s">
        <v>68</v>
      </c>
    </row>
    <row r="30" customFormat="false" ht="27.75" hidden="false" customHeight="true" outlineLevel="0" collapsed="false">
      <c r="A30" s="21" t="n">
        <v>22</v>
      </c>
      <c r="B30" s="22" t="s">
        <v>69</v>
      </c>
      <c r="C30" s="23" t="n">
        <v>1</v>
      </c>
      <c r="D30" s="24" t="s">
        <v>52</v>
      </c>
      <c r="E30" s="25" t="n">
        <v>1</v>
      </c>
      <c r="F30" s="26" t="n">
        <f aca="false">C30*E30</f>
        <v>1</v>
      </c>
      <c r="G30" s="27" t="s">
        <v>46</v>
      </c>
      <c r="H30" s="28" t="s">
        <v>70</v>
      </c>
    </row>
    <row r="31" customFormat="false" ht="18" hidden="false" customHeight="true" outlineLevel="0" collapsed="false">
      <c r="A31" s="4" t="s">
        <v>71</v>
      </c>
      <c r="B31" s="4"/>
      <c r="C31" s="4"/>
      <c r="D31" s="4"/>
      <c r="E31" s="4"/>
      <c r="F31" s="4"/>
      <c r="G31" s="4"/>
      <c r="H31" s="4"/>
    </row>
    <row r="32" customFormat="false" ht="27.75" hidden="false" customHeight="true" outlineLevel="0" collapsed="false">
      <c r="A32" s="21" t="n">
        <v>23</v>
      </c>
      <c r="B32" s="22" t="s">
        <v>72</v>
      </c>
      <c r="C32" s="23" t="n">
        <v>1</v>
      </c>
      <c r="D32" s="24" t="s">
        <v>45</v>
      </c>
      <c r="E32" s="25" t="n">
        <v>1.5</v>
      </c>
      <c r="F32" s="26" t="n">
        <f aca="false">C32*E32</f>
        <v>1.5</v>
      </c>
      <c r="G32" s="27" t="s">
        <v>46</v>
      </c>
      <c r="H32" s="28" t="s">
        <v>73</v>
      </c>
    </row>
    <row r="33" customFormat="false" ht="27.75" hidden="false" customHeight="true" outlineLevel="0" collapsed="false">
      <c r="A33" s="29" t="n">
        <v>24</v>
      </c>
      <c r="B33" s="30" t="s">
        <v>74</v>
      </c>
      <c r="C33" s="31" t="n">
        <v>0.5</v>
      </c>
      <c r="D33" s="32" t="s">
        <v>52</v>
      </c>
      <c r="E33" s="33" t="n">
        <v>1</v>
      </c>
      <c r="F33" s="34" t="n">
        <f aca="false">C33*E33</f>
        <v>0.5</v>
      </c>
      <c r="G33" s="35" t="s">
        <v>46</v>
      </c>
      <c r="H33" s="36" t="s">
        <v>75</v>
      </c>
    </row>
    <row r="34" customFormat="false" ht="27.75" hidden="false" customHeight="true" outlineLevel="0" collapsed="false">
      <c r="A34" s="21" t="n">
        <v>25</v>
      </c>
      <c r="B34" s="22" t="s">
        <v>76</v>
      </c>
      <c r="C34" s="23" t="n">
        <v>1</v>
      </c>
      <c r="D34" s="24" t="s">
        <v>12</v>
      </c>
      <c r="E34" s="25" t="n">
        <v>14</v>
      </c>
      <c r="F34" s="26" t="n">
        <f aca="false">C34*E34</f>
        <v>14</v>
      </c>
      <c r="G34" s="27" t="s">
        <v>46</v>
      </c>
      <c r="H34" s="28" t="s">
        <v>77</v>
      </c>
    </row>
    <row r="35" customFormat="false" ht="27.75" hidden="false" customHeight="true" outlineLevel="0" collapsed="false">
      <c r="A35" s="29" t="n">
        <v>26</v>
      </c>
      <c r="B35" s="30" t="s">
        <v>78</v>
      </c>
      <c r="C35" s="31" t="n">
        <v>1</v>
      </c>
      <c r="D35" s="32" t="s">
        <v>79</v>
      </c>
      <c r="E35" s="33" t="n">
        <v>1</v>
      </c>
      <c r="F35" s="34" t="n">
        <f aca="false">C35*E35</f>
        <v>1</v>
      </c>
      <c r="G35" s="35" t="s">
        <v>46</v>
      </c>
      <c r="H35" s="36" t="s">
        <v>80</v>
      </c>
    </row>
    <row r="36" customFormat="false" ht="18" hidden="false" customHeight="true" outlineLevel="0" collapsed="false">
      <c r="A36" s="4" t="s">
        <v>81</v>
      </c>
      <c r="B36" s="4"/>
      <c r="C36" s="4"/>
      <c r="D36" s="4"/>
      <c r="E36" s="4"/>
      <c r="F36" s="4"/>
      <c r="G36" s="4"/>
      <c r="H36" s="4"/>
    </row>
    <row r="37" customFormat="false" ht="27.75" hidden="false" customHeight="true" outlineLevel="0" collapsed="false">
      <c r="A37" s="29" t="n">
        <v>27</v>
      </c>
      <c r="B37" s="30" t="s">
        <v>82</v>
      </c>
      <c r="C37" s="31" t="n">
        <v>20</v>
      </c>
      <c r="D37" s="32" t="s">
        <v>12</v>
      </c>
      <c r="E37" s="33" t="n">
        <v>2.5</v>
      </c>
      <c r="F37" s="34" t="n">
        <f aca="false">C37*E37</f>
        <v>50</v>
      </c>
      <c r="G37" s="35" t="s">
        <v>46</v>
      </c>
      <c r="H37" s="36" t="s">
        <v>83</v>
      </c>
    </row>
    <row r="38" customFormat="false" ht="27.75" hidden="false" customHeight="true" outlineLevel="0" collapsed="false">
      <c r="A38" s="21" t="n">
        <v>28</v>
      </c>
      <c r="B38" s="22" t="s">
        <v>84</v>
      </c>
      <c r="C38" s="23" t="n">
        <v>20</v>
      </c>
      <c r="D38" s="24" t="s">
        <v>12</v>
      </c>
      <c r="E38" s="25" t="n">
        <v>1</v>
      </c>
      <c r="F38" s="26" t="n">
        <f aca="false">C38*E38</f>
        <v>20</v>
      </c>
      <c r="G38" s="27" t="s">
        <v>46</v>
      </c>
      <c r="H38" s="28" t="s">
        <v>85</v>
      </c>
    </row>
    <row r="39" customFormat="false" ht="27.75" hidden="false" customHeight="true" outlineLevel="0" collapsed="false">
      <c r="A39" s="29" t="n">
        <v>29</v>
      </c>
      <c r="B39" s="30" t="s">
        <v>86</v>
      </c>
      <c r="C39" s="31" t="n">
        <v>20</v>
      </c>
      <c r="D39" s="32" t="s">
        <v>12</v>
      </c>
      <c r="E39" s="33" t="n">
        <v>0.8</v>
      </c>
      <c r="F39" s="34" t="n">
        <f aca="false">C39*E39</f>
        <v>16</v>
      </c>
      <c r="G39" s="35" t="s">
        <v>46</v>
      </c>
      <c r="H39" s="36" t="s">
        <v>87</v>
      </c>
    </row>
    <row r="40" customFormat="false" ht="27.75" hidden="false" customHeight="true" outlineLevel="0" collapsed="false">
      <c r="A40" s="21" t="n">
        <v>30</v>
      </c>
      <c r="B40" s="22" t="s">
        <v>88</v>
      </c>
      <c r="C40" s="23" t="n">
        <v>1</v>
      </c>
      <c r="D40" s="24" t="s">
        <v>89</v>
      </c>
      <c r="E40" s="25" t="n">
        <v>2.5</v>
      </c>
      <c r="F40" s="26" t="n">
        <f aca="false">C40*E40</f>
        <v>2.5</v>
      </c>
      <c r="G40" s="27" t="s">
        <v>46</v>
      </c>
      <c r="H40" s="28" t="s">
        <v>90</v>
      </c>
    </row>
    <row r="41" customFormat="false" ht="27.75" hidden="false" customHeight="true" outlineLevel="0" collapsed="false">
      <c r="A41" s="29" t="n">
        <v>31</v>
      </c>
      <c r="B41" s="30" t="s">
        <v>91</v>
      </c>
      <c r="C41" s="31" t="n">
        <v>2</v>
      </c>
      <c r="D41" s="32" t="s">
        <v>12</v>
      </c>
      <c r="E41" s="33" t="n">
        <v>0.5</v>
      </c>
      <c r="F41" s="34" t="n">
        <f aca="false">C41*E41</f>
        <v>1</v>
      </c>
      <c r="G41" s="35" t="s">
        <v>46</v>
      </c>
      <c r="H41" s="36" t="s">
        <v>92</v>
      </c>
    </row>
    <row r="42" customFormat="false" ht="27.75" hidden="false" customHeight="true" outlineLevel="0" collapsed="false">
      <c r="A42" s="21" t="n">
        <v>32</v>
      </c>
      <c r="B42" s="22" t="s">
        <v>93</v>
      </c>
      <c r="C42" s="23" t="n">
        <v>1</v>
      </c>
      <c r="D42" s="24" t="s">
        <v>55</v>
      </c>
      <c r="E42" s="25" t="n">
        <v>2</v>
      </c>
      <c r="F42" s="26" t="n">
        <f aca="false">C42*E42</f>
        <v>2</v>
      </c>
      <c r="G42" s="27" t="s">
        <v>46</v>
      </c>
      <c r="H42" s="28" t="s">
        <v>94</v>
      </c>
    </row>
    <row r="43" customFormat="false" ht="27.75" hidden="false" customHeight="true" outlineLevel="0" collapsed="false">
      <c r="A43" s="29" t="n">
        <v>33</v>
      </c>
      <c r="B43" s="30" t="s">
        <v>95</v>
      </c>
      <c r="C43" s="31" t="n">
        <v>1</v>
      </c>
      <c r="D43" s="32" t="s">
        <v>96</v>
      </c>
      <c r="E43" s="33" t="n">
        <v>5</v>
      </c>
      <c r="F43" s="34" t="n">
        <f aca="false">C43*E43</f>
        <v>5</v>
      </c>
      <c r="G43" s="35" t="s">
        <v>46</v>
      </c>
      <c r="H43" s="36" t="s">
        <v>97</v>
      </c>
    </row>
    <row r="45" customFormat="false" ht="24" hidden="false" customHeight="true" outlineLevel="0" collapsed="false">
      <c r="A45" s="37" t="s">
        <v>98</v>
      </c>
      <c r="B45" s="37"/>
      <c r="C45" s="37"/>
      <c r="D45" s="37"/>
      <c r="E45" s="37"/>
      <c r="F45" s="38" t="n">
        <f aca="false">F20+F21+F22+F23+F25+F26+F28+F29+F30+F32+F33+F34+F35+F37+F38+F39+F40+F41+F42+F43</f>
        <v>145.5</v>
      </c>
      <c r="G45" s="39"/>
      <c r="H45" s="39"/>
    </row>
    <row r="47" customFormat="false" ht="36" hidden="false" customHeight="true" outlineLevel="0" collapsed="false">
      <c r="A47" s="40" t="s">
        <v>99</v>
      </c>
      <c r="B47" s="40"/>
      <c r="C47" s="40"/>
      <c r="D47" s="40"/>
      <c r="E47" s="40"/>
      <c r="F47" s="40"/>
      <c r="G47" s="40"/>
      <c r="H47" s="40"/>
    </row>
  </sheetData>
  <mergeCells count="11">
    <mergeCell ref="A1:H1"/>
    <mergeCell ref="A2:H2"/>
    <mergeCell ref="A4:H4"/>
    <mergeCell ref="A9:H9"/>
    <mergeCell ref="A19:H19"/>
    <mergeCell ref="A24:H24"/>
    <mergeCell ref="A27:H27"/>
    <mergeCell ref="A31:H31"/>
    <mergeCell ref="A36:H36"/>
    <mergeCell ref="A45:E45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2026-04-09T02:05:48Z</dcterms:created>
  <dc:creator>openpyxl</dc:creator>
  <dc:description/>
  <dc:language>en-US</dc:language>
  <cp:lastModifiedBy/>
  <dcterms:modified xsi:type="dcterms:W3CDTF">2026-04-09T02:05:48Z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