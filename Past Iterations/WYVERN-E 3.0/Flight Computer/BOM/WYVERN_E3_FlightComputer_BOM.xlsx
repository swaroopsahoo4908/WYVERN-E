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C BOM" sheetId="1" state="visible" r:id="rId3"/>
    <sheet name="Purchase Link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<sst xmlns="http://schemas.openxmlformats.org/spreadsheetml/2006/main" count="476" uniqueCount="159">
  <si>
    <t xml:space="preserve">WYVERN-E 3.0 — Flight Computer BOM (avionics · aux · tools)</t>
  </si>
  <si>
    <t xml:space="preserve">Raspberry Pi 5 + both TVC backends · exact part #s on Amazon / Adafruit / Apogee / Bambu / Estes · PCBs + old F25/G78 motors excluded · *Tenergy &amp; Jolly Logic are pre-requisitioned exceptions to the storefront list</t>
  </si>
  <si>
    <t xml:space="preserve">A. Compute &amp; Sensors</t>
  </si>
  <si>
    <t xml:space="preserve">Item</t>
  </si>
  <si>
    <t xml:space="preserve">Storefront</t>
  </si>
  <si>
    <t xml:space="preserve">Part # / Spec</t>
  </si>
  <si>
    <t xml:space="preserve">Link</t>
  </si>
  <si>
    <t xml:space="preserve">Status</t>
  </si>
  <si>
    <t xml:space="preserve">Qty</t>
  </si>
  <si>
    <t xml:space="preserve">Unit ($)</t>
  </si>
  <si>
    <t xml:space="preserve">Line ($)</t>
  </si>
  <si>
    <t xml:space="preserve">Raspberry Pi 5 (4 GB)</t>
  </si>
  <si>
    <t xml:space="preserve">Adafruit</t>
  </si>
  <si>
    <t xml:space="preserve">ID 5812</t>
  </si>
  <si>
    <t xml:space="preserve">Buy ▸</t>
  </si>
  <si>
    <t xml:space="preserve">To order</t>
  </si>
  <si>
    <t xml:space="preserve">Official Pi 5 Active Cooler</t>
  </si>
  <si>
    <t xml:space="preserve">ID 5815</t>
  </si>
  <si>
    <t xml:space="preserve">BNO085 9-DOF IMU (gimbal/FC/nose)</t>
  </si>
  <si>
    <t xml:space="preserve">ID 4754</t>
  </si>
  <si>
    <t xml:space="preserve">Aero Budget</t>
  </si>
  <si>
    <t xml:space="preserve">LSM6DSO32 ±32 g accel/gyro</t>
  </si>
  <si>
    <t xml:space="preserve">ID 4692</t>
  </si>
  <si>
    <t xml:space="preserve">LIS2MDL magnetometer</t>
  </si>
  <si>
    <t xml:space="preserve">ID 4488</t>
  </si>
  <si>
    <t xml:space="preserve">BMP280 barometer</t>
  </si>
  <si>
    <t xml:space="preserve">ID 2651</t>
  </si>
  <si>
    <t xml:space="preserve">BME688 gas/T/P/RH</t>
  </si>
  <si>
    <t xml:space="preserve">ID 5046</t>
  </si>
  <si>
    <t xml:space="preserve">TCA9548A I2C multiplexer</t>
  </si>
  <si>
    <t xml:space="preserve">ID 2717</t>
  </si>
  <si>
    <t xml:space="preserve">Arduino Nano (3-pk) — bench/stand DAQ</t>
  </si>
  <si>
    <t xml:space="preserve">Amazon</t>
  </si>
  <si>
    <t xml:space="preserve">LAFVIN B07G99NNXL</t>
  </si>
  <si>
    <t xml:space="preserve">Subtotal</t>
  </si>
  <si>
    <t xml:space="preserve">B. Storage &amp; Camera</t>
  </si>
  <si>
    <t xml:space="preserve">Camera Module 3</t>
  </si>
  <si>
    <t xml:space="preserve">ID 5657</t>
  </si>
  <si>
    <t xml:space="preserve">Pi 5 FPC camera cable 22→15-pin 200mm</t>
  </si>
  <si>
    <t xml:space="preserve">ID 5818</t>
  </si>
  <si>
    <t xml:space="preserve">microSD SPI breakout (video + log)</t>
  </si>
  <si>
    <t xml:space="preserve">ID 4682</t>
  </si>
  <si>
    <t xml:space="preserve">SanDisk 32 GB microSD (video / log / boot)</t>
  </si>
  <si>
    <t xml:space="preserve">SDSQUA4-032G B08GY9NYRM</t>
  </si>
  <si>
    <t xml:space="preserve">C. Power &amp; Distribution</t>
  </si>
  <si>
    <t xml:space="preserve">DROK 9-36V→5V 6A buck (Pi 5 rail)</t>
  </si>
  <si>
    <t xml:space="preserve">DROK B01NALDSJ0</t>
  </si>
  <si>
    <t xml:space="preserve">DROK 6.5-36V→1.2-32V 4.5A buck (set 6V servo rail)</t>
  </si>
  <si>
    <t xml:space="preserve">DROK B07FL6PBZF</t>
  </si>
  <si>
    <t xml:space="preserve">Tenergy 12V 1300mAh NiCd pack</t>
  </si>
  <si>
    <t xml:space="preserve">Tenergy*</t>
  </si>
  <si>
    <t xml:space="preserve">10S1P 15.6Wh</t>
  </si>
  <si>
    <t xml:space="preserve">Requisitioned</t>
  </si>
  <si>
    <t xml:space="preserve">12 V 2 A power supply (charger / bench)</t>
  </si>
  <si>
    <t xml:space="preserve">B0852HX9HV</t>
  </si>
  <si>
    <t xml:space="preserve">Purchased</t>
  </si>
  <si>
    <t xml:space="preserve">D. Recovery &amp; Ignition electronics</t>
  </si>
  <si>
    <t xml:space="preserve">MissileWorks RRC3+ dual-deploy + 2nd-stage</t>
  </si>
  <si>
    <t xml:space="preserve">Apogee</t>
  </si>
  <si>
    <t xml:space="preserve">RRC3+ id 2048</t>
  </si>
  <si>
    <t xml:space="preserve">Jolly Logic Altimeter 2 (backup record)</t>
  </si>
  <si>
    <t xml:space="preserve">Jolly Logic*</t>
  </si>
  <si>
    <t xml:space="preserve">AltimeterTwo</t>
  </si>
  <si>
    <t xml:space="preserve">E. TVC System A — tri-solenoid (purchased)</t>
  </si>
  <si>
    <t xml:space="preserve">50 N 12 V solenoid (gimbal actuator)</t>
  </si>
  <si>
    <t xml:space="preserve">TOMSHIELE B0CTG4X882</t>
  </si>
  <si>
    <t xml:space="preserve">IRF520 MOSFET driver (4-ct)</t>
  </si>
  <si>
    <t xml:space="preserve">HiLetgo B01I1J14MO</t>
  </si>
  <si>
    <t xml:space="preserve">1N4007 flyback diode (125-ct)</t>
  </si>
  <si>
    <t xml:space="preserve">B0FC2CQF24</t>
  </si>
  <si>
    <t xml:space="preserve">N52 magnets 1.26in (20-ct) — return/detent</t>
  </si>
  <si>
    <t xml:space="preserve">B093G7WYY9</t>
  </si>
  <si>
    <t xml:space="preserve">F. TVC System B — servo-gimbal (added for A/B)</t>
  </si>
  <si>
    <t xml:space="preserve">DS3235 35 kg·cm digital servo</t>
  </si>
  <si>
    <t xml:space="preserve">ANNIMOS B0BBB8DBRR</t>
  </si>
  <si>
    <t xml:space="preserve">PCA9685 16-ch PWM driver</t>
  </si>
  <si>
    <t xml:space="preserve">ID 815</t>
  </si>
  <si>
    <t xml:space="preserve">G. Harness &amp; Assembly consumables</t>
  </si>
  <si>
    <t xml:space="preserve">STEMMA QT JST-SH 4-pin cable (female)</t>
  </si>
  <si>
    <t xml:space="preserve">ID 4209</t>
  </si>
  <si>
    <t xml:space="preserve">STEMMA QT JST-SH 4-pin cable (male)</t>
  </si>
  <si>
    <t xml:space="preserve">ID 4397</t>
  </si>
  <si>
    <t xml:space="preserve">24 AWG flexible silicone wire kit</t>
  </si>
  <si>
    <t xml:space="preserve">TUOFENG B07G2BWBX8</t>
  </si>
  <si>
    <t xml:space="preserve">Breadboard jumper wire kit</t>
  </si>
  <si>
    <t xml:space="preserve">B0C1VDKPW2</t>
  </si>
  <si>
    <t xml:space="preserve">IDC 2x10 20P connector (5-pk)</t>
  </si>
  <si>
    <t xml:space="preserve">B01MT921QT</t>
  </si>
  <si>
    <t xml:space="preserve">Kapton high-temp tape</t>
  </si>
  <si>
    <t xml:space="preserve">ELEGOO B072Z92QZ2</t>
  </si>
  <si>
    <t xml:space="preserve">3:1 adhesive heat-shrink kit (130 pc)</t>
  </si>
  <si>
    <t xml:space="preserve">MILAPEAK B071H5XC7C</t>
  </si>
  <si>
    <t xml:space="preserve">Super Lube PTFE grease</t>
  </si>
  <si>
    <t xml:space="preserve">B000XBH9HI</t>
  </si>
  <si>
    <t xml:space="preserve">J-B Weld twin-tube epoxy</t>
  </si>
  <si>
    <t xml:space="preserve">B0B5VNG2YT</t>
  </si>
  <si>
    <t xml:space="preserve">H. Auxiliary components &amp; connectors</t>
  </si>
  <si>
    <t xml:space="preserve">GPIO stacking header 2x20 (Pi 5)</t>
  </si>
  <si>
    <t xml:space="preserve">ID 2223</t>
  </si>
  <si>
    <t xml:space="preserve">M2.5 brass standoff/screw/nut kit (220 pc)</t>
  </si>
  <si>
    <t xml:space="preserve">GeeekPi B07PHBTTGV</t>
  </si>
  <si>
    <t xml:space="preserve">iCrimp SN-2549 crimper + 1550-pc JST/Dupont kit</t>
  </si>
  <si>
    <t xml:space="preserve">B08ZRT496D</t>
  </si>
  <si>
    <t xml:space="preserve">I. Tools — one-time, specialized</t>
  </si>
  <si>
    <t xml:space="preserve">Soldering kit 30-in-1 (iron, desolder pump, tweezers, solder, flux)</t>
  </si>
  <si>
    <t xml:space="preserve">B07Q2B4ZY9</t>
  </si>
  <si>
    <t xml:space="preserve">AstroAI TRMS 6000-count digital multimeter</t>
  </si>
  <si>
    <t xml:space="preserve">B071JL6LLL</t>
  </si>
  <si>
    <t xml:space="preserve">Helping-hands station w/ LED magnifier</t>
  </si>
  <si>
    <t xml:space="preserve">SainSmart B09B73XL33</t>
  </si>
  <si>
    <t xml:space="preserve">iFixit Pro Tech precision driver toolkit</t>
  </si>
  <si>
    <t xml:space="preserve">iFixit B01GF0KV6G</t>
  </si>
  <si>
    <t xml:space="preserve">Neiko 01407A 6in digital caliper</t>
  </si>
  <si>
    <t xml:space="preserve">B000GSLKIW</t>
  </si>
  <si>
    <t xml:space="preserve">FLIGHT COMPUTER TOTAL (incl. tools)</t>
  </si>
  <si>
    <t xml:space="preserve">WYVERN-E 3.0 Flight Computer — Full Purchase Links</t>
  </si>
  <si>
    <t xml:space="preserve">Full URL</t>
  </si>
  <si>
    <t xml:space="preserve">https://www.adafruit.com/product/5812</t>
  </si>
  <si>
    <t xml:space="preserve">https://www.adafruit.com/product/5815</t>
  </si>
  <si>
    <t xml:space="preserve">https://www.adafruit.com/product/4754</t>
  </si>
  <si>
    <t xml:space="preserve">https://www.adafruit.com/product/4692</t>
  </si>
  <si>
    <t xml:space="preserve">https://www.adafruit.com/product/4488</t>
  </si>
  <si>
    <t xml:space="preserve">https://www.adafruit.com/product/2651</t>
  </si>
  <si>
    <t xml:space="preserve">https://www.adafruit.com/product/5046</t>
  </si>
  <si>
    <t xml:space="preserve">https://www.adafruit.com/product/2717</t>
  </si>
  <si>
    <t xml:space="preserve">https://www.amazon.com/LAFVIN-Board-ATmega328P-Micro-Controller-Arduino/dp/B07G99NNXL</t>
  </si>
  <si>
    <t xml:space="preserve">https://www.adafruit.com/product/5657</t>
  </si>
  <si>
    <t xml:space="preserve">https://www.adafruit.com/product/5818</t>
  </si>
  <si>
    <t xml:space="preserve">https://www.adafruit.com/product/4682</t>
  </si>
  <si>
    <t xml:space="preserve">https://www.amazon.com/dp/B08GY9NYRM</t>
  </si>
  <si>
    <t xml:space="preserve">https://www.amazon.com/Converter-DROK-Regulator-Inverter-Transformer/dp/B01NALDSJ0</t>
  </si>
  <si>
    <t xml:space="preserve">https://www.amazon.com/Converter-DROK-Regulator-Transformer-Protection/dp/B07FL6PBZF</t>
  </si>
  <si>
    <t xml:space="preserve">https://power.tenergy.com/at-tenery-12v-1300mah-nicd-rechargeable-battery-pack-10s1p-15-6wh-13a-rate-mini-tamiya-connector-flat-config/</t>
  </si>
  <si>
    <t xml:space="preserve">https://www.amazon.com/dp/B0852HX9HV</t>
  </si>
  <si>
    <t xml:space="preserve">https://apogeerockets.com/index.php?cpath=&amp;main_page=product_info&amp;products_id=2048</t>
  </si>
  <si>
    <t xml:space="preserve">https://jollylogic.com/products/altimetertwo/</t>
  </si>
  <si>
    <t xml:space="preserve">https://www.amazon.com/dp/B0CTG4X882</t>
  </si>
  <si>
    <t xml:space="preserve">https://www.amazon.com/dp/B01I1J14MO</t>
  </si>
  <si>
    <t xml:space="preserve">https://www.amazon.com/dp/B0FC2CQF24</t>
  </si>
  <si>
    <t xml:space="preserve">https://www.amazon.com/dp/B093G7WYY9</t>
  </si>
  <si>
    <t xml:space="preserve">https://www.amazon.com/ANNIMOS-Waterproof-Torque-Digital-Steering/dp/B0BBB8DBRR</t>
  </si>
  <si>
    <t xml:space="preserve">https://www.adafruit.com/product/815</t>
  </si>
  <si>
    <t xml:space="preserve">https://www.adafruit.com/product/4209</t>
  </si>
  <si>
    <t xml:space="preserve">https://www.adafruit.com/product/4397</t>
  </si>
  <si>
    <t xml:space="preserve">https://www.amazon.com/dp/B07G2BWBX8</t>
  </si>
  <si>
    <t xml:space="preserve">https://www.amazon.com/dp/B0C1VDKPW2</t>
  </si>
  <si>
    <t xml:space="preserve">https://www.amazon.com/dp/B01MT921QT</t>
  </si>
  <si>
    <t xml:space="preserve">https://www.amazon.com/dp/B072Z92QZ2</t>
  </si>
  <si>
    <t xml:space="preserve">https://www.amazon.com/dp/B071H5XC7C</t>
  </si>
  <si>
    <t xml:space="preserve">https://www.amazon.com/dp/B000XBH9HI</t>
  </si>
  <si>
    <t xml:space="preserve">https://www.amazon.com/dp/B0B5VNG2YT</t>
  </si>
  <si>
    <t xml:space="preserve">https://www.adafruit.com/product/2223</t>
  </si>
  <si>
    <t xml:space="preserve">https://www.amazon.com/dp/B07PHBTTGV</t>
  </si>
  <si>
    <t xml:space="preserve">https://www.amazon.com/dp/B08ZRT496D</t>
  </si>
  <si>
    <t xml:space="preserve">https://www.amazon.com/Soldering-Iron-Kit-Temperature-Desoldering/dp/B07Q2B4ZY9</t>
  </si>
  <si>
    <t xml:space="preserve">https://www.amazon.com/AstroAI-Multimeter-Resistance-Transistors-Temperature/dp/B071JL6LLL</t>
  </si>
  <si>
    <t xml:space="preserve">https://www.amazon.com/SainSmart-Magnetic-Soldering-Magnifying-Flexible/dp/B09B73XL33</t>
  </si>
  <si>
    <t xml:space="preserve">https://www.amazon.com/iFixit-Pro-Tech-Toolkit-Electronics/dp/B01GF0KV6G</t>
  </si>
  <si>
    <t xml:space="preserve">https://www.amazon.com/Neiko-01407A-Electronic-Digital-Stainless/dp/B000GSLKIW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</si>
</sst>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8.5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2E5496"/>
      </patternFill>
    </fill>
    <fill>
      <patternFill patternType="solid">
        <fgColor rgb="FF2E5496"/>
        <bgColor rgb="FF1F3864"/>
      </patternFill>
    </fill>
    <fill>
      <patternFill patternType="solid">
        <fgColor rgb="FFBF9000"/>
        <bgColor rgb="FF808000"/>
      </patternFill>
    </fill>
    <fill>
      <patternFill patternType="solid">
        <fgColor rgb="FFD9E1F2"/>
        <bgColor rgb="FFCCFFFF"/>
      </patternFill>
    </fill>
    <fill>
      <patternFill patternType="solid">
        <fgColor rgb="FF37562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dafruit.com/product/5812" TargetMode="External"/><Relationship Id="rId2" Type="http://schemas.openxmlformats.org/officeDocument/2006/relationships/hyperlink" Target="https://www.adafruit.com/product/5815" TargetMode="External"/><Relationship Id="rId3" Type="http://schemas.openxmlformats.org/officeDocument/2006/relationships/hyperlink" Target="https://www.adafruit.com/product/4754" TargetMode="External"/><Relationship Id="rId4" Type="http://schemas.openxmlformats.org/officeDocument/2006/relationships/hyperlink" Target="https://www.adafruit.com/product/4692" TargetMode="External"/><Relationship Id="rId5" Type="http://schemas.openxmlformats.org/officeDocument/2006/relationships/hyperlink" Target="https://www.adafruit.com/product/4488" TargetMode="External"/><Relationship Id="rId6" Type="http://schemas.openxmlformats.org/officeDocument/2006/relationships/hyperlink" Target="https://www.adafruit.com/product/2651" TargetMode="External"/><Relationship Id="rId7" Type="http://schemas.openxmlformats.org/officeDocument/2006/relationships/hyperlink" Target="https://www.adafruit.com/product/5046" TargetMode="External"/><Relationship Id="rId8" Type="http://schemas.openxmlformats.org/officeDocument/2006/relationships/hyperlink" Target="https://www.adafruit.com/product/2717" TargetMode="External"/><Relationship Id="rId9" Type="http://schemas.openxmlformats.org/officeDocument/2006/relationships/hyperlink" Target="https://www.amazon.com/LAFVIN-Board-ATmega328P-Micro-Controller-Arduino/dp/B07G99NNXL" TargetMode="External"/><Relationship Id="rId10" Type="http://schemas.openxmlformats.org/officeDocument/2006/relationships/hyperlink" Target="https://www.adafruit.com/product/5657" TargetMode="External"/><Relationship Id="rId11" Type="http://schemas.openxmlformats.org/officeDocument/2006/relationships/hyperlink" Target="https://www.adafruit.com/product/5818" TargetMode="External"/><Relationship Id="rId12" Type="http://schemas.openxmlformats.org/officeDocument/2006/relationships/hyperlink" Target="https://www.adafruit.com/product/4682" TargetMode="External"/><Relationship Id="rId13" Type="http://schemas.openxmlformats.org/officeDocument/2006/relationships/hyperlink" Target="https://www.amazon.com/dp/B08GY9NYRM" TargetMode="External"/><Relationship Id="rId14" Type="http://schemas.openxmlformats.org/officeDocument/2006/relationships/hyperlink" Target="https://www.amazon.com/Converter-DROK-Regulator-Inverter-Transformer/dp/B01NALDSJ0" TargetMode="External"/><Relationship Id="rId15" Type="http://schemas.openxmlformats.org/officeDocument/2006/relationships/hyperlink" Target="https://www.amazon.com/Converter-DROK-Regulator-Transformer-Protection/dp/B07FL6PBZF" TargetMode="External"/><Relationship Id="rId16" Type="http://schemas.openxmlformats.org/officeDocument/2006/relationships/hyperlink" Target="https://power.tenergy.com/at-tenery-12v-1300mah-nicd-rechargeable-battery-pack-10s1p-15-6wh-13a-rate-mini-tamiya-connector-flat-config/" TargetMode="External"/><Relationship Id="rId17" Type="http://schemas.openxmlformats.org/officeDocument/2006/relationships/hyperlink" Target="https://www.amazon.com/dp/B0852HX9HV" TargetMode="External"/><Relationship Id="rId18" Type="http://schemas.openxmlformats.org/officeDocument/2006/relationships/hyperlink" Target="https://apogeerockets.com/index.php?cpath=&amp;main_page=product_info&amp;products_id=2048" TargetMode="External"/><Relationship Id="rId19" Type="http://schemas.openxmlformats.org/officeDocument/2006/relationships/hyperlink" Target="https://jollylogic.com/products/altimetertwo/" TargetMode="External"/><Relationship Id="rId20" Type="http://schemas.openxmlformats.org/officeDocument/2006/relationships/hyperlink" Target="https://www.amazon.com/dp/B0CTG4X882" TargetMode="External"/><Relationship Id="rId21" Type="http://schemas.openxmlformats.org/officeDocument/2006/relationships/hyperlink" Target="https://www.amazon.com/dp/B01I1J14MO" TargetMode="External"/><Relationship Id="rId22" Type="http://schemas.openxmlformats.org/officeDocument/2006/relationships/hyperlink" Target="https://www.amazon.com/dp/B0FC2CQF24" TargetMode="External"/><Relationship Id="rId23" Type="http://schemas.openxmlformats.org/officeDocument/2006/relationships/hyperlink" Target="https://www.amazon.com/dp/B093G7WYY9" TargetMode="External"/><Relationship Id="rId24" Type="http://schemas.openxmlformats.org/officeDocument/2006/relationships/hyperlink" Target="https://www.amazon.com/ANNIMOS-Waterproof-Torque-Digital-Steering/dp/B0BBB8DBRR" TargetMode="External"/><Relationship Id="rId25" Type="http://schemas.openxmlformats.org/officeDocument/2006/relationships/hyperlink" Target="https://www.adafruit.com/product/815" TargetMode="External"/><Relationship Id="rId26" Type="http://schemas.openxmlformats.org/officeDocument/2006/relationships/hyperlink" Target="https://www.adafruit.com/product/4209" TargetMode="External"/><Relationship Id="rId27" Type="http://schemas.openxmlformats.org/officeDocument/2006/relationships/hyperlink" Target="https://www.adafruit.com/product/4397" TargetMode="External"/><Relationship Id="rId28" Type="http://schemas.openxmlformats.org/officeDocument/2006/relationships/hyperlink" Target="https://www.amazon.com/dp/B07G2BWBX8" TargetMode="External"/><Relationship Id="rId29" Type="http://schemas.openxmlformats.org/officeDocument/2006/relationships/hyperlink" Target="https://www.amazon.com/dp/B0C1VDKPW2" TargetMode="External"/><Relationship Id="rId30" Type="http://schemas.openxmlformats.org/officeDocument/2006/relationships/hyperlink" Target="https://www.amazon.com/dp/B01MT921QT" TargetMode="External"/><Relationship Id="rId31" Type="http://schemas.openxmlformats.org/officeDocument/2006/relationships/hyperlink" Target="https://www.amazon.com/dp/B072Z92QZ2" TargetMode="External"/><Relationship Id="rId32" Type="http://schemas.openxmlformats.org/officeDocument/2006/relationships/hyperlink" Target="https://www.amazon.com/dp/B071H5XC7C" TargetMode="External"/><Relationship Id="rId33" Type="http://schemas.openxmlformats.org/officeDocument/2006/relationships/hyperlink" Target="https://www.amazon.com/dp/B000XBH9HI" TargetMode="External"/><Relationship Id="rId34" Type="http://schemas.openxmlformats.org/officeDocument/2006/relationships/hyperlink" Target="https://www.amazon.com/dp/B0B5VNG2YT" TargetMode="External"/><Relationship Id="rId35" Type="http://schemas.openxmlformats.org/officeDocument/2006/relationships/hyperlink" Target="https://www.adafruit.com/product/2223" TargetMode="External"/><Relationship Id="rId36" Type="http://schemas.openxmlformats.org/officeDocument/2006/relationships/hyperlink" Target="https://www.amazon.com/dp/B07PHBTTGV" TargetMode="External"/><Relationship Id="rId37" Type="http://schemas.openxmlformats.org/officeDocument/2006/relationships/hyperlink" Target="https://www.amazon.com/dp/B08ZRT496D" TargetMode="External"/><Relationship Id="rId38" Type="http://schemas.openxmlformats.org/officeDocument/2006/relationships/hyperlink" Target="https://www.amazon.com/Soldering-Iron-Kit-Temperature-Desoldering/dp/B07Q2B4ZY9" TargetMode="External"/><Relationship Id="rId39" Type="http://schemas.openxmlformats.org/officeDocument/2006/relationships/hyperlink" Target="https://www.amazon.com/AstroAI-Multimeter-Resistance-Transistors-Temperature/dp/B071JL6LLL" TargetMode="External"/><Relationship Id="rId40" Type="http://schemas.openxmlformats.org/officeDocument/2006/relationships/hyperlink" Target="https://www.amazon.com/SainSmart-Magnetic-Soldering-Magnifying-Flexible/dp/B09B73XL33" TargetMode="External"/><Relationship Id="rId41" Type="http://schemas.openxmlformats.org/officeDocument/2006/relationships/hyperlink" Target="https://www.amazon.com/iFixit-Pro-Tech-Toolkit-Electronics/dp/B01GF0KV6G" TargetMode="External"/><Relationship Id="rId42" Type="http://schemas.openxmlformats.org/officeDocument/2006/relationships/hyperlink" Target="https://www.amazon.com/Neiko-01407A-Electronic-Digital-Stainless/dp/B000GSLKIW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adafruit.com/product/5812" TargetMode="External"/><Relationship Id="rId2" Type="http://schemas.openxmlformats.org/officeDocument/2006/relationships/hyperlink" Target="https://www.adafruit.com/product/5815" TargetMode="External"/><Relationship Id="rId3" Type="http://schemas.openxmlformats.org/officeDocument/2006/relationships/hyperlink" Target="https://www.adafruit.com/product/4754" TargetMode="External"/><Relationship Id="rId4" Type="http://schemas.openxmlformats.org/officeDocument/2006/relationships/hyperlink" Target="https://www.adafruit.com/product/4692" TargetMode="External"/><Relationship Id="rId5" Type="http://schemas.openxmlformats.org/officeDocument/2006/relationships/hyperlink" Target="https://www.adafruit.com/product/4488" TargetMode="External"/><Relationship Id="rId6" Type="http://schemas.openxmlformats.org/officeDocument/2006/relationships/hyperlink" Target="https://www.adafruit.com/product/2651" TargetMode="External"/><Relationship Id="rId7" Type="http://schemas.openxmlformats.org/officeDocument/2006/relationships/hyperlink" Target="https://www.adafruit.com/product/5046" TargetMode="External"/><Relationship Id="rId8" Type="http://schemas.openxmlformats.org/officeDocument/2006/relationships/hyperlink" Target="https://www.adafruit.com/product/2717" TargetMode="External"/><Relationship Id="rId9" Type="http://schemas.openxmlformats.org/officeDocument/2006/relationships/hyperlink" Target="https://www.amazon.com/LAFVIN-Board-ATmega328P-Micro-Controller-Arduino/dp/B07G99NNXL" TargetMode="External"/><Relationship Id="rId10" Type="http://schemas.openxmlformats.org/officeDocument/2006/relationships/hyperlink" Target="https://www.adafruit.com/product/5657" TargetMode="External"/><Relationship Id="rId11" Type="http://schemas.openxmlformats.org/officeDocument/2006/relationships/hyperlink" Target="https://www.adafruit.com/product/5818" TargetMode="External"/><Relationship Id="rId12" Type="http://schemas.openxmlformats.org/officeDocument/2006/relationships/hyperlink" Target="https://www.adafruit.com/product/4682" TargetMode="External"/><Relationship Id="rId13" Type="http://schemas.openxmlformats.org/officeDocument/2006/relationships/hyperlink" Target="https://www.amazon.com/dp/B08GY9NYRM" TargetMode="External"/><Relationship Id="rId14" Type="http://schemas.openxmlformats.org/officeDocument/2006/relationships/hyperlink" Target="https://www.amazon.com/Converter-DROK-Regulator-Inverter-Transformer/dp/B01NALDSJ0" TargetMode="External"/><Relationship Id="rId15" Type="http://schemas.openxmlformats.org/officeDocument/2006/relationships/hyperlink" Target="https://www.amazon.com/Converter-DROK-Regulator-Transformer-Protection/dp/B07FL6PBZF" TargetMode="External"/><Relationship Id="rId16" Type="http://schemas.openxmlformats.org/officeDocument/2006/relationships/hyperlink" Target="https://power.tenergy.com/at-tenery-12v-1300mah-nicd-rechargeable-battery-pack-10s1p-15-6wh-13a-rate-mini-tamiya-connector-flat-config/" TargetMode="External"/><Relationship Id="rId17" Type="http://schemas.openxmlformats.org/officeDocument/2006/relationships/hyperlink" Target="https://www.amazon.com/dp/B0852HX9HV" TargetMode="External"/><Relationship Id="rId18" Type="http://schemas.openxmlformats.org/officeDocument/2006/relationships/hyperlink" Target="https://apogeerockets.com/index.php?cpath=&amp;main_page=product_info&amp;products_id=2048" TargetMode="External"/><Relationship Id="rId19" Type="http://schemas.openxmlformats.org/officeDocument/2006/relationships/hyperlink" Target="https://jollylogic.com/products/altimetertwo/" TargetMode="External"/><Relationship Id="rId20" Type="http://schemas.openxmlformats.org/officeDocument/2006/relationships/hyperlink" Target="https://www.amazon.com/dp/B0CTG4X882" TargetMode="External"/><Relationship Id="rId21" Type="http://schemas.openxmlformats.org/officeDocument/2006/relationships/hyperlink" Target="https://www.amazon.com/dp/B01I1J14MO" TargetMode="External"/><Relationship Id="rId22" Type="http://schemas.openxmlformats.org/officeDocument/2006/relationships/hyperlink" Target="https://www.amazon.com/dp/B0FC2CQF24" TargetMode="External"/><Relationship Id="rId23" Type="http://schemas.openxmlformats.org/officeDocument/2006/relationships/hyperlink" Target="https://www.amazon.com/dp/B093G7WYY9" TargetMode="External"/><Relationship Id="rId24" Type="http://schemas.openxmlformats.org/officeDocument/2006/relationships/hyperlink" Target="https://www.amazon.com/ANNIMOS-Waterproof-Torque-Digital-Steering/dp/B0BBB8DBRR" TargetMode="External"/><Relationship Id="rId25" Type="http://schemas.openxmlformats.org/officeDocument/2006/relationships/hyperlink" Target="https://www.adafruit.com/product/815" TargetMode="External"/><Relationship Id="rId26" Type="http://schemas.openxmlformats.org/officeDocument/2006/relationships/hyperlink" Target="https://www.adafruit.com/product/4209" TargetMode="External"/><Relationship Id="rId27" Type="http://schemas.openxmlformats.org/officeDocument/2006/relationships/hyperlink" Target="https://www.adafruit.com/product/4397" TargetMode="External"/><Relationship Id="rId28" Type="http://schemas.openxmlformats.org/officeDocument/2006/relationships/hyperlink" Target="https://www.amazon.com/dp/B07G2BWBX8" TargetMode="External"/><Relationship Id="rId29" Type="http://schemas.openxmlformats.org/officeDocument/2006/relationships/hyperlink" Target="https://www.amazon.com/dp/B0C1VDKPW2" TargetMode="External"/><Relationship Id="rId30" Type="http://schemas.openxmlformats.org/officeDocument/2006/relationships/hyperlink" Target="https://www.amazon.com/dp/B01MT921QT" TargetMode="External"/><Relationship Id="rId31" Type="http://schemas.openxmlformats.org/officeDocument/2006/relationships/hyperlink" Target="https://www.amazon.com/dp/B072Z92QZ2" TargetMode="External"/><Relationship Id="rId32" Type="http://schemas.openxmlformats.org/officeDocument/2006/relationships/hyperlink" Target="https://www.amazon.com/dp/B071H5XC7C" TargetMode="External"/><Relationship Id="rId33" Type="http://schemas.openxmlformats.org/officeDocument/2006/relationships/hyperlink" Target="https://www.amazon.com/dp/B000XBH9HI" TargetMode="External"/><Relationship Id="rId34" Type="http://schemas.openxmlformats.org/officeDocument/2006/relationships/hyperlink" Target="https://www.amazon.com/dp/B0B5VNG2YT" TargetMode="External"/><Relationship Id="rId35" Type="http://schemas.openxmlformats.org/officeDocument/2006/relationships/hyperlink" Target="https://www.adafruit.com/product/2223" TargetMode="External"/><Relationship Id="rId36" Type="http://schemas.openxmlformats.org/officeDocument/2006/relationships/hyperlink" Target="https://www.amazon.com/dp/B07PHBTTGV" TargetMode="External"/><Relationship Id="rId37" Type="http://schemas.openxmlformats.org/officeDocument/2006/relationships/hyperlink" Target="https://www.amazon.com/dp/B08ZRT496D" TargetMode="External"/><Relationship Id="rId38" Type="http://schemas.openxmlformats.org/officeDocument/2006/relationships/hyperlink" Target="https://www.amazon.com/Soldering-Iron-Kit-Temperature-Desoldering/dp/B07Q2B4ZY9" TargetMode="External"/><Relationship Id="rId39" Type="http://schemas.openxmlformats.org/officeDocument/2006/relationships/hyperlink" Target="https://www.amazon.com/AstroAI-Multimeter-Resistance-Transistors-Temperature/dp/B071JL6LLL" TargetMode="External"/><Relationship Id="rId40" Type="http://schemas.openxmlformats.org/officeDocument/2006/relationships/hyperlink" Target="https://www.amazon.com/SainSmart-Magnetic-Soldering-Magnifying-Flexible/dp/B09B73XL33" TargetMode="External"/><Relationship Id="rId41" Type="http://schemas.openxmlformats.org/officeDocument/2006/relationships/hyperlink" Target="https://www.amazon.com/iFixit-Pro-Tech-Toolkit-Electronics/dp/B01GF0KV6G" TargetMode="External"/><Relationship Id="rId42" Type="http://schemas.openxmlformats.org/officeDocument/2006/relationships/hyperlink" Target="https://www.amazon.com/Neiko-01407A-Electronic-Digital-Stainless/dp/B000GSLKIW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11"/>
    <col collapsed="false" customWidth="true" hidden="false" outlineLevel="0" max="5" min="5" style="1" width="15"/>
    <col collapsed="false" customWidth="true" hidden="false" outlineLevel="0" max="6" min="6" style="1" width="6"/>
    <col collapsed="false" customWidth="true" hidden="false" outlineLevel="0" max="7" min="7" style="1" width="10"/>
    <col collapsed="false" customWidth="true" hidden="false" outlineLevel="0" max="8" min="8" style="1" width="11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4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6" t="s">
        <v>7</v>
      </c>
      <c r="F5" s="6" t="s">
        <v>8</v>
      </c>
      <c r="G5" s="6" t="s">
        <v>9</v>
      </c>
      <c r="H5" s="6" t="s">
        <v>10</v>
      </c>
    </row>
    <row r="6" customFormat="false" ht="15" hidden="false" customHeight="true" outlineLevel="0" collapsed="false">
      <c r="A6" s="7" t="s">
        <v>11</v>
      </c>
      <c r="B6" s="8" t="s">
        <v>12</v>
      </c>
      <c r="C6" s="9" t="s">
        <v>13</v>
      </c>
      <c r="D6" s="10" t="s">
        <v>14</v>
      </c>
      <c r="E6" s="11" t="s">
        <v>15</v>
      </c>
      <c r="F6" s="8" t="n">
        <v>1</v>
      </c>
      <c r="G6" s="12" t="n">
        <v>60</v>
      </c>
      <c r="H6" s="12" t="n">
        <f aca="false">F6*G6</f>
        <v>60</v>
      </c>
    </row>
    <row r="7" customFormat="false" ht="15" hidden="false" customHeight="true" outlineLevel="0" collapsed="false">
      <c r="A7" s="7" t="s">
        <v>16</v>
      </c>
      <c r="B7" s="8" t="s">
        <v>12</v>
      </c>
      <c r="C7" s="9" t="s">
        <v>17</v>
      </c>
      <c r="D7" s="10" t="s">
        <v>14</v>
      </c>
      <c r="E7" s="11" t="s">
        <v>15</v>
      </c>
      <c r="F7" s="8" t="n">
        <v>1</v>
      </c>
      <c r="G7" s="12" t="n">
        <v>5</v>
      </c>
      <c r="H7" s="12" t="n">
        <f aca="false">F7*G7</f>
        <v>5</v>
      </c>
    </row>
    <row r="8" customFormat="false" ht="15" hidden="false" customHeight="true" outlineLevel="0" collapsed="false">
      <c r="A8" s="7" t="s">
        <v>18</v>
      </c>
      <c r="B8" s="8" t="s">
        <v>12</v>
      </c>
      <c r="C8" s="9" t="s">
        <v>19</v>
      </c>
      <c r="D8" s="10" t="s">
        <v>14</v>
      </c>
      <c r="E8" s="11" t="s">
        <v>20</v>
      </c>
      <c r="F8" s="8" t="n">
        <v>3</v>
      </c>
      <c r="G8" s="12" t="n">
        <v>24.99</v>
      </c>
      <c r="H8" s="12" t="n">
        <f aca="false">F8*G8</f>
        <v>74.97</v>
      </c>
    </row>
    <row r="9" customFormat="false" ht="15" hidden="false" customHeight="true" outlineLevel="0" collapsed="false">
      <c r="A9" s="7" t="s">
        <v>21</v>
      </c>
      <c r="B9" s="8" t="s">
        <v>12</v>
      </c>
      <c r="C9" s="9" t="s">
        <v>22</v>
      </c>
      <c r="D9" s="10" t="s">
        <v>14</v>
      </c>
      <c r="E9" s="11" t="s">
        <v>15</v>
      </c>
      <c r="F9" s="8" t="n">
        <v>1</v>
      </c>
      <c r="G9" s="12" t="n">
        <v>11.95</v>
      </c>
      <c r="H9" s="12" t="n">
        <f aca="false">F9*G9</f>
        <v>11.95</v>
      </c>
    </row>
    <row r="10" customFormat="false" ht="15" hidden="false" customHeight="true" outlineLevel="0" collapsed="false">
      <c r="A10" s="7" t="s">
        <v>23</v>
      </c>
      <c r="B10" s="8" t="s">
        <v>12</v>
      </c>
      <c r="C10" s="9" t="s">
        <v>24</v>
      </c>
      <c r="D10" s="10" t="s">
        <v>14</v>
      </c>
      <c r="E10" s="11" t="s">
        <v>15</v>
      </c>
      <c r="F10" s="8" t="n">
        <v>1</v>
      </c>
      <c r="G10" s="12" t="n">
        <v>4.95</v>
      </c>
      <c r="H10" s="12" t="n">
        <f aca="false">F10*G10</f>
        <v>4.95</v>
      </c>
    </row>
    <row r="11" customFormat="false" ht="15" hidden="false" customHeight="true" outlineLevel="0" collapsed="false">
      <c r="A11" s="7" t="s">
        <v>25</v>
      </c>
      <c r="B11" s="8" t="s">
        <v>12</v>
      </c>
      <c r="C11" s="9" t="s">
        <v>26</v>
      </c>
      <c r="D11" s="10" t="s">
        <v>14</v>
      </c>
      <c r="E11" s="11" t="s">
        <v>15</v>
      </c>
      <c r="F11" s="8" t="n">
        <v>1</v>
      </c>
      <c r="G11" s="12" t="n">
        <v>9.95</v>
      </c>
      <c r="H11" s="12" t="n">
        <f aca="false">F11*G11</f>
        <v>9.95</v>
      </c>
    </row>
    <row r="12" customFormat="false" ht="15" hidden="false" customHeight="true" outlineLevel="0" collapsed="false">
      <c r="A12" s="7" t="s">
        <v>27</v>
      </c>
      <c r="B12" s="8" t="s">
        <v>12</v>
      </c>
      <c r="C12" s="9" t="s">
        <v>28</v>
      </c>
      <c r="D12" s="10" t="s">
        <v>14</v>
      </c>
      <c r="E12" s="11" t="s">
        <v>15</v>
      </c>
      <c r="F12" s="8" t="n">
        <v>1</v>
      </c>
      <c r="G12" s="12" t="n">
        <v>22.5</v>
      </c>
      <c r="H12" s="12" t="n">
        <f aca="false">F12*G12</f>
        <v>22.5</v>
      </c>
    </row>
    <row r="13" customFormat="false" ht="15" hidden="false" customHeight="true" outlineLevel="0" collapsed="false">
      <c r="A13" s="7" t="s">
        <v>29</v>
      </c>
      <c r="B13" s="8" t="s">
        <v>12</v>
      </c>
      <c r="C13" s="9" t="s">
        <v>30</v>
      </c>
      <c r="D13" s="10" t="s">
        <v>14</v>
      </c>
      <c r="E13" s="11" t="s">
        <v>15</v>
      </c>
      <c r="F13" s="8" t="n">
        <v>1</v>
      </c>
      <c r="G13" s="12" t="n">
        <v>6.95</v>
      </c>
      <c r="H13" s="12" t="n">
        <f aca="false">F13*G13</f>
        <v>6.95</v>
      </c>
    </row>
    <row r="14" customFormat="false" ht="15" hidden="false" customHeight="true" outlineLevel="0" collapsed="false">
      <c r="A14" s="7" t="s">
        <v>31</v>
      </c>
      <c r="B14" s="8" t="s">
        <v>32</v>
      </c>
      <c r="C14" s="9" t="s">
        <v>33</v>
      </c>
      <c r="D14" s="10" t="s">
        <v>14</v>
      </c>
      <c r="E14" s="11" t="s">
        <v>20</v>
      </c>
      <c r="F14" s="8" t="n">
        <v>1</v>
      </c>
      <c r="G14" s="12" t="n">
        <v>15.99</v>
      </c>
      <c r="H14" s="12" t="n">
        <f aca="false">F14*G14</f>
        <v>15.99</v>
      </c>
    </row>
    <row r="15" customFormat="false" ht="15" hidden="false" customHeight="true" outlineLevel="0" collapsed="false">
      <c r="A15" s="13" t="s">
        <v>34</v>
      </c>
      <c r="B15" s="14"/>
      <c r="C15" s="14"/>
      <c r="D15" s="14"/>
      <c r="E15" s="14"/>
      <c r="F15" s="14"/>
      <c r="G15" s="14"/>
      <c r="H15" s="15" t="n">
        <f aca="false">SUM(H6:H14)</f>
        <v>212.26</v>
      </c>
    </row>
    <row r="17" customFormat="false" ht="15" hidden="false" customHeight="true" outlineLevel="0" collapsed="false">
      <c r="A17" s="4" t="s">
        <v>35</v>
      </c>
      <c r="B17" s="4"/>
      <c r="C17" s="4"/>
      <c r="D17" s="4"/>
      <c r="E17" s="4"/>
      <c r="F17" s="4"/>
      <c r="G17" s="4"/>
      <c r="H17" s="4"/>
    </row>
    <row r="18" customFormat="false" ht="15" hidden="false" customHeight="true" outlineLevel="0" collapsed="false">
      <c r="A18" s="5" t="s">
        <v>3</v>
      </c>
      <c r="B18" s="5" t="s">
        <v>4</v>
      </c>
      <c r="C18" s="5" t="s">
        <v>5</v>
      </c>
      <c r="D18" s="5" t="s">
        <v>6</v>
      </c>
      <c r="E18" s="6" t="s">
        <v>7</v>
      </c>
      <c r="F18" s="6" t="s">
        <v>8</v>
      </c>
      <c r="G18" s="6" t="s">
        <v>9</v>
      </c>
      <c r="H18" s="6" t="s">
        <v>10</v>
      </c>
    </row>
    <row r="19" customFormat="false" ht="15" hidden="false" customHeight="true" outlineLevel="0" collapsed="false">
      <c r="A19" s="7" t="s">
        <v>36</v>
      </c>
      <c r="B19" s="8" t="s">
        <v>12</v>
      </c>
      <c r="C19" s="9" t="s">
        <v>37</v>
      </c>
      <c r="D19" s="10" t="s">
        <v>14</v>
      </c>
      <c r="E19" s="11" t="s">
        <v>15</v>
      </c>
      <c r="F19" s="8" t="n">
        <v>1</v>
      </c>
      <c r="G19" s="12" t="n">
        <v>25</v>
      </c>
      <c r="H19" s="12" t="n">
        <f aca="false">F19*G19</f>
        <v>25</v>
      </c>
    </row>
    <row r="20" customFormat="false" ht="15" hidden="false" customHeight="true" outlineLevel="0" collapsed="false">
      <c r="A20" s="7" t="s">
        <v>38</v>
      </c>
      <c r="B20" s="8" t="s">
        <v>12</v>
      </c>
      <c r="C20" s="9" t="s">
        <v>39</v>
      </c>
      <c r="D20" s="10" t="s">
        <v>14</v>
      </c>
      <c r="E20" s="11" t="s">
        <v>15</v>
      </c>
      <c r="F20" s="8" t="n">
        <v>1</v>
      </c>
      <c r="G20" s="12" t="n">
        <v>1.5</v>
      </c>
      <c r="H20" s="12" t="n">
        <f aca="false">F20*G20</f>
        <v>1.5</v>
      </c>
    </row>
    <row r="21" customFormat="false" ht="15" hidden="false" customHeight="true" outlineLevel="0" collapsed="false">
      <c r="A21" s="7" t="s">
        <v>40</v>
      </c>
      <c r="B21" s="8" t="s">
        <v>12</v>
      </c>
      <c r="C21" s="9" t="s">
        <v>41</v>
      </c>
      <c r="D21" s="10" t="s">
        <v>14</v>
      </c>
      <c r="E21" s="11" t="s">
        <v>15</v>
      </c>
      <c r="F21" s="8" t="n">
        <v>2</v>
      </c>
      <c r="G21" s="12" t="n">
        <v>3.95</v>
      </c>
      <c r="H21" s="12" t="n">
        <f aca="false">F21*G21</f>
        <v>7.9</v>
      </c>
    </row>
    <row r="22" customFormat="false" ht="15" hidden="false" customHeight="true" outlineLevel="0" collapsed="false">
      <c r="A22" s="7" t="s">
        <v>42</v>
      </c>
      <c r="B22" s="8" t="s">
        <v>32</v>
      </c>
      <c r="C22" s="9" t="s">
        <v>43</v>
      </c>
      <c r="D22" s="10" t="s">
        <v>14</v>
      </c>
      <c r="E22" s="11" t="s">
        <v>15</v>
      </c>
      <c r="F22" s="8" t="n">
        <v>3</v>
      </c>
      <c r="G22" s="12" t="n">
        <v>9</v>
      </c>
      <c r="H22" s="12" t="n">
        <f aca="false">F22*G22</f>
        <v>27</v>
      </c>
    </row>
    <row r="23" customFormat="false" ht="15" hidden="false" customHeight="true" outlineLevel="0" collapsed="false">
      <c r="A23" s="13" t="s">
        <v>34</v>
      </c>
      <c r="B23" s="14"/>
      <c r="C23" s="14"/>
      <c r="D23" s="14"/>
      <c r="E23" s="14"/>
      <c r="F23" s="14"/>
      <c r="G23" s="14"/>
      <c r="H23" s="15" t="n">
        <f aca="false">SUM(H19:H22)</f>
        <v>61.4</v>
      </c>
    </row>
    <row r="25" customFormat="false" ht="15" hidden="false" customHeight="true" outlineLevel="0" collapsed="false">
      <c r="A25" s="4" t="s">
        <v>44</v>
      </c>
      <c r="B25" s="4"/>
      <c r="C25" s="4"/>
      <c r="D25" s="4"/>
      <c r="E25" s="4"/>
      <c r="F25" s="4"/>
      <c r="G25" s="4"/>
      <c r="H25" s="4"/>
    </row>
    <row r="26" customFormat="false" ht="15" hidden="false" customHeight="true" outlineLevel="0" collapsed="false">
      <c r="A26" s="5" t="s">
        <v>3</v>
      </c>
      <c r="B26" s="5" t="s">
        <v>4</v>
      </c>
      <c r="C26" s="5" t="s">
        <v>5</v>
      </c>
      <c r="D26" s="5" t="s">
        <v>6</v>
      </c>
      <c r="E26" s="6" t="s">
        <v>7</v>
      </c>
      <c r="F26" s="6" t="s">
        <v>8</v>
      </c>
      <c r="G26" s="6" t="s">
        <v>9</v>
      </c>
      <c r="H26" s="6" t="s">
        <v>10</v>
      </c>
    </row>
    <row r="27" customFormat="false" ht="15" hidden="false" customHeight="true" outlineLevel="0" collapsed="false">
      <c r="A27" s="7" t="s">
        <v>45</v>
      </c>
      <c r="B27" s="8" t="s">
        <v>32</v>
      </c>
      <c r="C27" s="9" t="s">
        <v>46</v>
      </c>
      <c r="D27" s="10" t="s">
        <v>14</v>
      </c>
      <c r="E27" s="11" t="s">
        <v>15</v>
      </c>
      <c r="F27" s="8" t="n">
        <v>1</v>
      </c>
      <c r="G27" s="12" t="n">
        <v>10.99</v>
      </c>
      <c r="H27" s="12" t="n">
        <f aca="false">F27*G27</f>
        <v>10.99</v>
      </c>
    </row>
    <row r="28" customFormat="false" ht="15" hidden="false" customHeight="true" outlineLevel="0" collapsed="false">
      <c r="A28" s="7" t="s">
        <v>47</v>
      </c>
      <c r="B28" s="8" t="s">
        <v>32</v>
      </c>
      <c r="C28" s="9" t="s">
        <v>48</v>
      </c>
      <c r="D28" s="10" t="s">
        <v>14</v>
      </c>
      <c r="E28" s="11" t="s">
        <v>15</v>
      </c>
      <c r="F28" s="8" t="n">
        <v>1</v>
      </c>
      <c r="G28" s="12" t="n">
        <v>13.99</v>
      </c>
      <c r="H28" s="12" t="n">
        <f aca="false">F28*G28</f>
        <v>13.99</v>
      </c>
    </row>
    <row r="29" customFormat="false" ht="15" hidden="false" customHeight="true" outlineLevel="0" collapsed="false">
      <c r="A29" s="7" t="s">
        <v>49</v>
      </c>
      <c r="B29" s="8" t="s">
        <v>50</v>
      </c>
      <c r="C29" s="9" t="s">
        <v>51</v>
      </c>
      <c r="D29" s="10" t="s">
        <v>14</v>
      </c>
      <c r="E29" s="11" t="s">
        <v>52</v>
      </c>
      <c r="F29" s="8" t="n">
        <v>4</v>
      </c>
      <c r="G29" s="12" t="n">
        <v>71.99</v>
      </c>
      <c r="H29" s="12" t="n">
        <f aca="false">F29*G29</f>
        <v>287.96</v>
      </c>
    </row>
    <row r="30" customFormat="false" ht="15" hidden="false" customHeight="true" outlineLevel="0" collapsed="false">
      <c r="A30" s="7" t="s">
        <v>53</v>
      </c>
      <c r="B30" s="8" t="s">
        <v>32</v>
      </c>
      <c r="C30" s="9" t="s">
        <v>54</v>
      </c>
      <c r="D30" s="10" t="s">
        <v>14</v>
      </c>
      <c r="E30" s="16" t="s">
        <v>55</v>
      </c>
      <c r="F30" s="8" t="n">
        <v>1</v>
      </c>
      <c r="G30" s="12" t="n">
        <v>11.99</v>
      </c>
      <c r="H30" s="12" t="n">
        <f aca="false">F30*G30</f>
        <v>11.99</v>
      </c>
    </row>
    <row r="31" customFormat="false" ht="15" hidden="false" customHeight="true" outlineLevel="0" collapsed="false">
      <c r="A31" s="13" t="s">
        <v>34</v>
      </c>
      <c r="B31" s="14"/>
      <c r="C31" s="14"/>
      <c r="D31" s="14"/>
      <c r="E31" s="14"/>
      <c r="F31" s="14"/>
      <c r="G31" s="14"/>
      <c r="H31" s="15" t="n">
        <f aca="false">SUM(H27:H30)</f>
        <v>324.93</v>
      </c>
    </row>
    <row r="33" customFormat="false" ht="15" hidden="false" customHeight="true" outlineLevel="0" collapsed="false">
      <c r="A33" s="4" t="s">
        <v>56</v>
      </c>
      <c r="B33" s="4"/>
      <c r="C33" s="4"/>
      <c r="D33" s="4"/>
      <c r="E33" s="4"/>
      <c r="F33" s="4"/>
      <c r="G33" s="4"/>
      <c r="H33" s="4"/>
    </row>
    <row r="34" customFormat="false" ht="15" hidden="false" customHeight="true" outlineLevel="0" collapsed="false">
      <c r="A34" s="5" t="s">
        <v>3</v>
      </c>
      <c r="B34" s="5" t="s">
        <v>4</v>
      </c>
      <c r="C34" s="5" t="s">
        <v>5</v>
      </c>
      <c r="D34" s="5" t="s">
        <v>6</v>
      </c>
      <c r="E34" s="6" t="s">
        <v>7</v>
      </c>
      <c r="F34" s="6" t="s">
        <v>8</v>
      </c>
      <c r="G34" s="6" t="s">
        <v>9</v>
      </c>
      <c r="H34" s="6" t="s">
        <v>10</v>
      </c>
    </row>
    <row r="35" customFormat="false" ht="15" hidden="false" customHeight="true" outlineLevel="0" collapsed="false">
      <c r="A35" s="7" t="s">
        <v>57</v>
      </c>
      <c r="B35" s="8" t="s">
        <v>58</v>
      </c>
      <c r="C35" s="9" t="s">
        <v>59</v>
      </c>
      <c r="D35" s="10" t="s">
        <v>14</v>
      </c>
      <c r="E35" s="11" t="s">
        <v>15</v>
      </c>
      <c r="F35" s="8" t="n">
        <v>1</v>
      </c>
      <c r="G35" s="12" t="n">
        <v>79.95</v>
      </c>
      <c r="H35" s="12" t="n">
        <f aca="false">F35*G35</f>
        <v>79.95</v>
      </c>
    </row>
    <row r="36" customFormat="false" ht="15" hidden="false" customHeight="true" outlineLevel="0" collapsed="false">
      <c r="A36" s="7" t="s">
        <v>60</v>
      </c>
      <c r="B36" s="8" t="s">
        <v>61</v>
      </c>
      <c r="C36" s="9" t="s">
        <v>62</v>
      </c>
      <c r="D36" s="10" t="s">
        <v>14</v>
      </c>
      <c r="E36" s="11" t="s">
        <v>20</v>
      </c>
      <c r="F36" s="8" t="n">
        <v>1</v>
      </c>
      <c r="G36" s="12" t="n">
        <v>79.95</v>
      </c>
      <c r="H36" s="12" t="n">
        <f aca="false">F36*G36</f>
        <v>79.95</v>
      </c>
    </row>
    <row r="37" customFormat="false" ht="15" hidden="false" customHeight="true" outlineLevel="0" collapsed="false">
      <c r="A37" s="13" t="s">
        <v>34</v>
      </c>
      <c r="B37" s="14"/>
      <c r="C37" s="14"/>
      <c r="D37" s="14"/>
      <c r="E37" s="14"/>
      <c r="F37" s="14"/>
      <c r="G37" s="14"/>
      <c r="H37" s="15" t="n">
        <f aca="false">SUM(H35:H36)</f>
        <v>159.9</v>
      </c>
    </row>
    <row r="39" customFormat="false" ht="15" hidden="false" customHeight="true" outlineLevel="0" collapsed="false">
      <c r="A39" s="4" t="s">
        <v>63</v>
      </c>
      <c r="B39" s="4"/>
      <c r="C39" s="4"/>
      <c r="D39" s="4"/>
      <c r="E39" s="4"/>
      <c r="F39" s="4"/>
      <c r="G39" s="4"/>
      <c r="H39" s="4"/>
    </row>
    <row r="40" customFormat="false" ht="15" hidden="false" customHeight="true" outlineLevel="0" collapsed="false">
      <c r="A40" s="5" t="s">
        <v>3</v>
      </c>
      <c r="B40" s="5" t="s">
        <v>4</v>
      </c>
      <c r="C40" s="5" t="s">
        <v>5</v>
      </c>
      <c r="D40" s="5" t="s">
        <v>6</v>
      </c>
      <c r="E40" s="6" t="s">
        <v>7</v>
      </c>
      <c r="F40" s="6" t="s">
        <v>8</v>
      </c>
      <c r="G40" s="6" t="s">
        <v>9</v>
      </c>
      <c r="H40" s="6" t="s">
        <v>10</v>
      </c>
    </row>
    <row r="41" customFormat="false" ht="15" hidden="false" customHeight="true" outlineLevel="0" collapsed="false">
      <c r="A41" s="7" t="s">
        <v>64</v>
      </c>
      <c r="B41" s="8" t="s">
        <v>32</v>
      </c>
      <c r="C41" s="9" t="s">
        <v>65</v>
      </c>
      <c r="D41" s="10" t="s">
        <v>14</v>
      </c>
      <c r="E41" s="16" t="s">
        <v>55</v>
      </c>
      <c r="F41" s="8" t="n">
        <v>3</v>
      </c>
      <c r="G41" s="12" t="n">
        <v>10.99</v>
      </c>
      <c r="H41" s="12" t="n">
        <f aca="false">F41*G41</f>
        <v>32.97</v>
      </c>
    </row>
    <row r="42" customFormat="false" ht="15" hidden="false" customHeight="true" outlineLevel="0" collapsed="false">
      <c r="A42" s="7" t="s">
        <v>66</v>
      </c>
      <c r="B42" s="8" t="s">
        <v>32</v>
      </c>
      <c r="C42" s="9" t="s">
        <v>67</v>
      </c>
      <c r="D42" s="10" t="s">
        <v>14</v>
      </c>
      <c r="E42" s="16" t="s">
        <v>55</v>
      </c>
      <c r="F42" s="8" t="n">
        <v>1</v>
      </c>
      <c r="G42" s="12" t="n">
        <v>6.99</v>
      </c>
      <c r="H42" s="12" t="n">
        <f aca="false">F42*G42</f>
        <v>6.99</v>
      </c>
    </row>
    <row r="43" customFormat="false" ht="15" hidden="false" customHeight="true" outlineLevel="0" collapsed="false">
      <c r="A43" s="7" t="s">
        <v>68</v>
      </c>
      <c r="B43" s="8" t="s">
        <v>32</v>
      </c>
      <c r="C43" s="9" t="s">
        <v>69</v>
      </c>
      <c r="D43" s="10" t="s">
        <v>14</v>
      </c>
      <c r="E43" s="16" t="s">
        <v>55</v>
      </c>
      <c r="F43" s="8" t="n">
        <v>1</v>
      </c>
      <c r="G43" s="12" t="n">
        <v>5.99</v>
      </c>
      <c r="H43" s="12" t="n">
        <f aca="false">F43*G43</f>
        <v>5.99</v>
      </c>
    </row>
    <row r="44" customFormat="false" ht="15" hidden="false" customHeight="true" outlineLevel="0" collapsed="false">
      <c r="A44" s="7" t="s">
        <v>70</v>
      </c>
      <c r="B44" s="8" t="s">
        <v>32</v>
      </c>
      <c r="C44" s="9" t="s">
        <v>71</v>
      </c>
      <c r="D44" s="10" t="s">
        <v>14</v>
      </c>
      <c r="E44" s="16" t="s">
        <v>55</v>
      </c>
      <c r="F44" s="8" t="n">
        <v>1</v>
      </c>
      <c r="G44" s="12" t="n">
        <v>25</v>
      </c>
      <c r="H44" s="12" t="n">
        <f aca="false">F44*G44</f>
        <v>25</v>
      </c>
    </row>
    <row r="45" customFormat="false" ht="15" hidden="false" customHeight="true" outlineLevel="0" collapsed="false">
      <c r="A45" s="13" t="s">
        <v>34</v>
      </c>
      <c r="B45" s="14"/>
      <c r="C45" s="14"/>
      <c r="D45" s="14"/>
      <c r="E45" s="14"/>
      <c r="F45" s="14"/>
      <c r="G45" s="14"/>
      <c r="H45" s="15" t="n">
        <f aca="false">SUM(H41:H44)</f>
        <v>70.95</v>
      </c>
    </row>
    <row r="47" customFormat="false" ht="15" hidden="false" customHeight="true" outlineLevel="0" collapsed="false">
      <c r="A47" s="4" t="s">
        <v>72</v>
      </c>
      <c r="B47" s="4"/>
      <c r="C47" s="4"/>
      <c r="D47" s="4"/>
      <c r="E47" s="4"/>
      <c r="F47" s="4"/>
      <c r="G47" s="4"/>
      <c r="H47" s="4"/>
    </row>
    <row r="48" customFormat="false" ht="15" hidden="false" customHeight="true" outlineLevel="0" collapsed="false">
      <c r="A48" s="5" t="s">
        <v>3</v>
      </c>
      <c r="B48" s="5" t="s">
        <v>4</v>
      </c>
      <c r="C48" s="5" t="s">
        <v>5</v>
      </c>
      <c r="D48" s="5" t="s">
        <v>6</v>
      </c>
      <c r="E48" s="6" t="s">
        <v>7</v>
      </c>
      <c r="F48" s="6" t="s">
        <v>8</v>
      </c>
      <c r="G48" s="6" t="s">
        <v>9</v>
      </c>
      <c r="H48" s="6" t="s">
        <v>10</v>
      </c>
    </row>
    <row r="49" customFormat="false" ht="15" hidden="false" customHeight="true" outlineLevel="0" collapsed="false">
      <c r="A49" s="7" t="s">
        <v>73</v>
      </c>
      <c r="B49" s="8" t="s">
        <v>32</v>
      </c>
      <c r="C49" s="9" t="s">
        <v>74</v>
      </c>
      <c r="D49" s="10" t="s">
        <v>14</v>
      </c>
      <c r="E49" s="11" t="s">
        <v>15</v>
      </c>
      <c r="F49" s="8" t="n">
        <v>3</v>
      </c>
      <c r="G49" s="12" t="n">
        <v>18.99</v>
      </c>
      <c r="H49" s="12" t="n">
        <f aca="false">F49*G49</f>
        <v>56.97</v>
      </c>
    </row>
    <row r="50" customFormat="false" ht="15" hidden="false" customHeight="true" outlineLevel="0" collapsed="false">
      <c r="A50" s="7" t="s">
        <v>75</v>
      </c>
      <c r="B50" s="8" t="s">
        <v>12</v>
      </c>
      <c r="C50" s="9" t="s">
        <v>76</v>
      </c>
      <c r="D50" s="10" t="s">
        <v>14</v>
      </c>
      <c r="E50" s="11" t="s">
        <v>15</v>
      </c>
      <c r="F50" s="8" t="n">
        <v>1</v>
      </c>
      <c r="G50" s="12" t="n">
        <v>9.95</v>
      </c>
      <c r="H50" s="12" t="n">
        <f aca="false">F50*G50</f>
        <v>9.95</v>
      </c>
    </row>
    <row r="51" customFormat="false" ht="15" hidden="false" customHeight="true" outlineLevel="0" collapsed="false">
      <c r="A51" s="13" t="s">
        <v>34</v>
      </c>
      <c r="B51" s="14"/>
      <c r="C51" s="14"/>
      <c r="D51" s="14"/>
      <c r="E51" s="14"/>
      <c r="F51" s="14"/>
      <c r="G51" s="14"/>
      <c r="H51" s="15" t="n">
        <f aca="false">SUM(H49:H50)</f>
        <v>66.92</v>
      </c>
    </row>
    <row r="53" customFormat="false" ht="15" hidden="false" customHeight="true" outlineLevel="0" collapsed="false">
      <c r="A53" s="4" t="s">
        <v>77</v>
      </c>
      <c r="B53" s="4"/>
      <c r="C53" s="4"/>
      <c r="D53" s="4"/>
      <c r="E53" s="4"/>
      <c r="F53" s="4"/>
      <c r="G53" s="4"/>
      <c r="H53" s="4"/>
    </row>
    <row r="54" customFormat="false" ht="15" hidden="false" customHeight="true" outlineLevel="0" collapsed="false">
      <c r="A54" s="5" t="s">
        <v>3</v>
      </c>
      <c r="B54" s="5" t="s">
        <v>4</v>
      </c>
      <c r="C54" s="5" t="s">
        <v>5</v>
      </c>
      <c r="D54" s="5" t="s">
        <v>6</v>
      </c>
      <c r="E54" s="6" t="s">
        <v>7</v>
      </c>
      <c r="F54" s="6" t="s">
        <v>8</v>
      </c>
      <c r="G54" s="6" t="s">
        <v>9</v>
      </c>
      <c r="H54" s="6" t="s">
        <v>10</v>
      </c>
    </row>
    <row r="55" customFormat="false" ht="15" hidden="false" customHeight="true" outlineLevel="0" collapsed="false">
      <c r="A55" s="7" t="s">
        <v>78</v>
      </c>
      <c r="B55" s="8" t="s">
        <v>12</v>
      </c>
      <c r="C55" s="9" t="s">
        <v>79</v>
      </c>
      <c r="D55" s="10" t="s">
        <v>14</v>
      </c>
      <c r="E55" s="11" t="s">
        <v>20</v>
      </c>
      <c r="F55" s="8" t="n">
        <v>3</v>
      </c>
      <c r="G55" s="12" t="n">
        <v>0.95</v>
      </c>
      <c r="H55" s="12" t="n">
        <f aca="false">F55*G55</f>
        <v>2.85</v>
      </c>
    </row>
    <row r="56" customFormat="false" ht="15" hidden="false" customHeight="true" outlineLevel="0" collapsed="false">
      <c r="A56" s="7" t="s">
        <v>80</v>
      </c>
      <c r="B56" s="8" t="s">
        <v>12</v>
      </c>
      <c r="C56" s="9" t="s">
        <v>81</v>
      </c>
      <c r="D56" s="10" t="s">
        <v>14</v>
      </c>
      <c r="E56" s="11" t="s">
        <v>20</v>
      </c>
      <c r="F56" s="8" t="n">
        <v>3</v>
      </c>
      <c r="G56" s="12" t="n">
        <v>0.95</v>
      </c>
      <c r="H56" s="12" t="n">
        <f aca="false">F56*G56</f>
        <v>2.85</v>
      </c>
    </row>
    <row r="57" customFormat="false" ht="15" hidden="false" customHeight="true" outlineLevel="0" collapsed="false">
      <c r="A57" s="7" t="s">
        <v>82</v>
      </c>
      <c r="B57" s="8" t="s">
        <v>32</v>
      </c>
      <c r="C57" s="9" t="s">
        <v>83</v>
      </c>
      <c r="D57" s="10" t="s">
        <v>14</v>
      </c>
      <c r="E57" s="11" t="s">
        <v>20</v>
      </c>
      <c r="F57" s="8" t="n">
        <v>1</v>
      </c>
      <c r="G57" s="12" t="n">
        <v>15.99</v>
      </c>
      <c r="H57" s="12" t="n">
        <f aca="false">F57*G57</f>
        <v>15.99</v>
      </c>
    </row>
    <row r="58" customFormat="false" ht="15" hidden="false" customHeight="true" outlineLevel="0" collapsed="false">
      <c r="A58" s="7" t="s">
        <v>84</v>
      </c>
      <c r="B58" s="8" t="s">
        <v>32</v>
      </c>
      <c r="C58" s="9" t="s">
        <v>85</v>
      </c>
      <c r="D58" s="10" t="s">
        <v>14</v>
      </c>
      <c r="E58" s="16" t="s">
        <v>55</v>
      </c>
      <c r="F58" s="8" t="n">
        <v>1</v>
      </c>
      <c r="G58" s="12" t="n">
        <v>14.99</v>
      </c>
      <c r="H58" s="12" t="n">
        <f aca="false">F58*G58</f>
        <v>14.99</v>
      </c>
    </row>
    <row r="59" customFormat="false" ht="15" hidden="false" customHeight="true" outlineLevel="0" collapsed="false">
      <c r="A59" s="7" t="s">
        <v>86</v>
      </c>
      <c r="B59" s="8" t="s">
        <v>32</v>
      </c>
      <c r="C59" s="9" t="s">
        <v>87</v>
      </c>
      <c r="D59" s="10" t="s">
        <v>14</v>
      </c>
      <c r="E59" s="11" t="s">
        <v>52</v>
      </c>
      <c r="F59" s="8" t="n">
        <v>1</v>
      </c>
      <c r="G59" s="12" t="n">
        <v>9.75</v>
      </c>
      <c r="H59" s="12" t="n">
        <f aca="false">F59*G59</f>
        <v>9.75</v>
      </c>
    </row>
    <row r="60" customFormat="false" ht="15" hidden="false" customHeight="true" outlineLevel="0" collapsed="false">
      <c r="A60" s="7" t="s">
        <v>88</v>
      </c>
      <c r="B60" s="8" t="s">
        <v>32</v>
      </c>
      <c r="C60" s="9" t="s">
        <v>89</v>
      </c>
      <c r="D60" s="10" t="s">
        <v>14</v>
      </c>
      <c r="E60" s="11" t="s">
        <v>20</v>
      </c>
      <c r="F60" s="8" t="n">
        <v>1</v>
      </c>
      <c r="G60" s="12" t="n">
        <v>9.99</v>
      </c>
      <c r="H60" s="12" t="n">
        <f aca="false">F60*G60</f>
        <v>9.99</v>
      </c>
    </row>
    <row r="61" customFormat="false" ht="15" hidden="false" customHeight="true" outlineLevel="0" collapsed="false">
      <c r="A61" s="7" t="s">
        <v>90</v>
      </c>
      <c r="B61" s="8" t="s">
        <v>32</v>
      </c>
      <c r="C61" s="9" t="s">
        <v>91</v>
      </c>
      <c r="D61" s="10" t="s">
        <v>14</v>
      </c>
      <c r="E61" s="11" t="s">
        <v>15</v>
      </c>
      <c r="F61" s="8" t="n">
        <v>1</v>
      </c>
      <c r="G61" s="12" t="n">
        <v>10.99</v>
      </c>
      <c r="H61" s="12" t="n">
        <f aca="false">F61*G61</f>
        <v>10.99</v>
      </c>
    </row>
    <row r="62" customFormat="false" ht="15" hidden="false" customHeight="true" outlineLevel="0" collapsed="false">
      <c r="A62" s="7" t="s">
        <v>92</v>
      </c>
      <c r="B62" s="8" t="s">
        <v>32</v>
      </c>
      <c r="C62" s="9" t="s">
        <v>93</v>
      </c>
      <c r="D62" s="10" t="s">
        <v>14</v>
      </c>
      <c r="E62" s="16" t="s">
        <v>55</v>
      </c>
      <c r="F62" s="8" t="n">
        <v>1</v>
      </c>
      <c r="G62" s="12" t="n">
        <v>10.99</v>
      </c>
      <c r="H62" s="12" t="n">
        <f aca="false">F62*G62</f>
        <v>10.99</v>
      </c>
    </row>
    <row r="63" customFormat="false" ht="15" hidden="false" customHeight="true" outlineLevel="0" collapsed="false">
      <c r="A63" s="7" t="s">
        <v>94</v>
      </c>
      <c r="B63" s="8" t="s">
        <v>32</v>
      </c>
      <c r="C63" s="9" t="s">
        <v>95</v>
      </c>
      <c r="D63" s="10" t="s">
        <v>14</v>
      </c>
      <c r="E63" s="16" t="s">
        <v>55</v>
      </c>
      <c r="F63" s="8" t="n">
        <v>1</v>
      </c>
      <c r="G63" s="12" t="n">
        <v>21.39</v>
      </c>
      <c r="H63" s="12" t="n">
        <f aca="false">F63*G63</f>
        <v>21.39</v>
      </c>
    </row>
    <row r="64" customFormat="false" ht="15" hidden="false" customHeight="true" outlineLevel="0" collapsed="false">
      <c r="A64" s="13" t="s">
        <v>34</v>
      </c>
      <c r="B64" s="14"/>
      <c r="C64" s="14"/>
      <c r="D64" s="14"/>
      <c r="E64" s="14"/>
      <c r="F64" s="14"/>
      <c r="G64" s="14"/>
      <c r="H64" s="15" t="n">
        <f aca="false">SUM(H55:H63)</f>
        <v>99.79</v>
      </c>
    </row>
    <row r="66" customFormat="false" ht="15" hidden="false" customHeight="true" outlineLevel="0" collapsed="false">
      <c r="A66" s="4" t="s">
        <v>96</v>
      </c>
      <c r="B66" s="4"/>
      <c r="C66" s="4"/>
      <c r="D66" s="4"/>
      <c r="E66" s="4"/>
      <c r="F66" s="4"/>
      <c r="G66" s="4"/>
      <c r="H66" s="4"/>
    </row>
    <row r="67" customFormat="false" ht="15" hidden="false" customHeight="true" outlineLevel="0" collapsed="false">
      <c r="A67" s="5" t="s">
        <v>3</v>
      </c>
      <c r="B67" s="5" t="s">
        <v>4</v>
      </c>
      <c r="C67" s="5" t="s">
        <v>5</v>
      </c>
      <c r="D67" s="5" t="s">
        <v>6</v>
      </c>
      <c r="E67" s="6" t="s">
        <v>7</v>
      </c>
      <c r="F67" s="6" t="s">
        <v>8</v>
      </c>
      <c r="G67" s="6" t="s">
        <v>9</v>
      </c>
      <c r="H67" s="6" t="s">
        <v>10</v>
      </c>
    </row>
    <row r="68" customFormat="false" ht="15" hidden="false" customHeight="true" outlineLevel="0" collapsed="false">
      <c r="A68" s="7" t="s">
        <v>97</v>
      </c>
      <c r="B68" s="8" t="s">
        <v>12</v>
      </c>
      <c r="C68" s="9" t="s">
        <v>98</v>
      </c>
      <c r="D68" s="10" t="s">
        <v>14</v>
      </c>
      <c r="E68" s="11" t="s">
        <v>15</v>
      </c>
      <c r="F68" s="8" t="n">
        <v>1</v>
      </c>
      <c r="G68" s="12" t="n">
        <v>2.95</v>
      </c>
      <c r="H68" s="12" t="n">
        <f aca="false">F68*G68</f>
        <v>2.95</v>
      </c>
    </row>
    <row r="69" customFormat="false" ht="15" hidden="false" customHeight="true" outlineLevel="0" collapsed="false">
      <c r="A69" s="7" t="s">
        <v>99</v>
      </c>
      <c r="B69" s="8" t="s">
        <v>32</v>
      </c>
      <c r="C69" s="9" t="s">
        <v>100</v>
      </c>
      <c r="D69" s="10" t="s">
        <v>14</v>
      </c>
      <c r="E69" s="11" t="s">
        <v>15</v>
      </c>
      <c r="F69" s="8" t="n">
        <v>1</v>
      </c>
      <c r="G69" s="12" t="n">
        <v>13.99</v>
      </c>
      <c r="H69" s="12" t="n">
        <f aca="false">F69*G69</f>
        <v>13.99</v>
      </c>
    </row>
    <row r="70" customFormat="false" ht="15" hidden="false" customHeight="true" outlineLevel="0" collapsed="false">
      <c r="A70" s="7" t="s">
        <v>101</v>
      </c>
      <c r="B70" s="8" t="s">
        <v>32</v>
      </c>
      <c r="C70" s="9" t="s">
        <v>102</v>
      </c>
      <c r="D70" s="10" t="s">
        <v>14</v>
      </c>
      <c r="E70" s="11" t="s">
        <v>15</v>
      </c>
      <c r="F70" s="8" t="n">
        <v>1</v>
      </c>
      <c r="G70" s="12" t="n">
        <v>29.99</v>
      </c>
      <c r="H70" s="12" t="n">
        <f aca="false">F70*G70</f>
        <v>29.99</v>
      </c>
    </row>
    <row r="71" customFormat="false" ht="15" hidden="false" customHeight="true" outlineLevel="0" collapsed="false">
      <c r="A71" s="13" t="s">
        <v>34</v>
      </c>
      <c r="B71" s="14"/>
      <c r="C71" s="14"/>
      <c r="D71" s="14"/>
      <c r="E71" s="14"/>
      <c r="F71" s="14"/>
      <c r="G71" s="14"/>
      <c r="H71" s="15" t="n">
        <f aca="false">SUM(H68:H70)</f>
        <v>46.93</v>
      </c>
    </row>
    <row r="73" customFormat="false" ht="15" hidden="false" customHeight="true" outlineLevel="0" collapsed="false">
      <c r="A73" s="4" t="s">
        <v>103</v>
      </c>
      <c r="B73" s="4"/>
      <c r="C73" s="4"/>
      <c r="D73" s="4"/>
      <c r="E73" s="4"/>
      <c r="F73" s="4"/>
      <c r="G73" s="4"/>
      <c r="H73" s="4"/>
    </row>
    <row r="74" customFormat="false" ht="15" hidden="false" customHeight="true" outlineLevel="0" collapsed="false">
      <c r="A74" s="5" t="s">
        <v>3</v>
      </c>
      <c r="B74" s="5" t="s">
        <v>4</v>
      </c>
      <c r="C74" s="5" t="s">
        <v>5</v>
      </c>
      <c r="D74" s="5" t="s">
        <v>6</v>
      </c>
      <c r="E74" s="6" t="s">
        <v>7</v>
      </c>
      <c r="F74" s="6" t="s">
        <v>8</v>
      </c>
      <c r="G74" s="6" t="s">
        <v>9</v>
      </c>
      <c r="H74" s="6" t="s">
        <v>10</v>
      </c>
    </row>
    <row r="75" customFormat="false" ht="23.25" hidden="false" customHeight="true" outlineLevel="0" collapsed="false">
      <c r="A75" s="7" t="s">
        <v>104</v>
      </c>
      <c r="B75" s="8" t="s">
        <v>32</v>
      </c>
      <c r="C75" s="9" t="s">
        <v>105</v>
      </c>
      <c r="D75" s="10" t="s">
        <v>14</v>
      </c>
      <c r="E75" s="11" t="s">
        <v>15</v>
      </c>
      <c r="F75" s="8" t="n">
        <v>1</v>
      </c>
      <c r="G75" s="12" t="n">
        <v>36.99</v>
      </c>
      <c r="H75" s="12" t="n">
        <f aca="false">F75*G75</f>
        <v>36.99</v>
      </c>
    </row>
    <row r="76" customFormat="false" ht="15" hidden="false" customHeight="true" outlineLevel="0" collapsed="false">
      <c r="A76" s="7" t="s">
        <v>106</v>
      </c>
      <c r="B76" s="8" t="s">
        <v>32</v>
      </c>
      <c r="C76" s="9" t="s">
        <v>107</v>
      </c>
      <c r="D76" s="10" t="s">
        <v>14</v>
      </c>
      <c r="E76" s="11" t="s">
        <v>15</v>
      </c>
      <c r="F76" s="8" t="n">
        <v>1</v>
      </c>
      <c r="G76" s="12" t="n">
        <v>31.99</v>
      </c>
      <c r="H76" s="12" t="n">
        <f aca="false">F76*G76</f>
        <v>31.99</v>
      </c>
    </row>
    <row r="77" customFormat="false" ht="15" hidden="false" customHeight="true" outlineLevel="0" collapsed="false">
      <c r="A77" s="7" t="s">
        <v>108</v>
      </c>
      <c r="B77" s="8" t="s">
        <v>32</v>
      </c>
      <c r="C77" s="9" t="s">
        <v>109</v>
      </c>
      <c r="D77" s="10" t="s">
        <v>14</v>
      </c>
      <c r="E77" s="11" t="s">
        <v>15</v>
      </c>
      <c r="F77" s="8" t="n">
        <v>1</v>
      </c>
      <c r="G77" s="12" t="n">
        <v>33.99</v>
      </c>
      <c r="H77" s="12" t="n">
        <f aca="false">F77*G77</f>
        <v>33.99</v>
      </c>
    </row>
    <row r="78" customFormat="false" ht="15" hidden="false" customHeight="true" outlineLevel="0" collapsed="false">
      <c r="A78" s="7" t="s">
        <v>110</v>
      </c>
      <c r="B78" s="8" t="s">
        <v>32</v>
      </c>
      <c r="C78" s="9" t="s">
        <v>111</v>
      </c>
      <c r="D78" s="10" t="s">
        <v>14</v>
      </c>
      <c r="E78" s="11" t="s">
        <v>15</v>
      </c>
      <c r="F78" s="8" t="n">
        <v>1</v>
      </c>
      <c r="G78" s="12" t="n">
        <v>74.99</v>
      </c>
      <c r="H78" s="12" t="n">
        <f aca="false">F78*G78</f>
        <v>74.99</v>
      </c>
    </row>
    <row r="79" customFormat="false" ht="15" hidden="false" customHeight="true" outlineLevel="0" collapsed="false">
      <c r="A79" s="7" t="s">
        <v>112</v>
      </c>
      <c r="B79" s="8" t="s">
        <v>32</v>
      </c>
      <c r="C79" s="9" t="s">
        <v>113</v>
      </c>
      <c r="D79" s="10" t="s">
        <v>14</v>
      </c>
      <c r="E79" s="11" t="s">
        <v>15</v>
      </c>
      <c r="F79" s="8" t="n">
        <v>1</v>
      </c>
      <c r="G79" s="12" t="n">
        <v>14.99</v>
      </c>
      <c r="H79" s="12" t="n">
        <f aca="false">F79*G79</f>
        <v>14.99</v>
      </c>
    </row>
    <row r="80" customFormat="false" ht="15" hidden="false" customHeight="true" outlineLevel="0" collapsed="false">
      <c r="A80" s="13" t="s">
        <v>34</v>
      </c>
      <c r="B80" s="14"/>
      <c r="C80" s="14"/>
      <c r="D80" s="14"/>
      <c r="E80" s="14"/>
      <c r="F80" s="14"/>
      <c r="G80" s="14"/>
      <c r="H80" s="15" t="n">
        <f aca="false">SUM(H75:H79)</f>
        <v>192.95</v>
      </c>
    </row>
    <row r="82" customFormat="false" ht="21.75" hidden="false" customHeight="true" outlineLevel="0" collapsed="false">
      <c r="A82" s="17" t="s">
        <v>114</v>
      </c>
      <c r="B82" s="17"/>
      <c r="C82" s="17"/>
      <c r="D82" s="17"/>
      <c r="E82" s="17"/>
      <c r="F82" s="17"/>
      <c r="G82" s="17"/>
      <c r="H82" s="18" t="n">
        <f aca="false">H15+H23+H31+H37+H45+H51+H64+H71+H80</f>
        <v>1236.03</v>
      </c>
    </row>
  </sheetData>
  <mergeCells count="12">
    <mergeCell ref="A1:H1"/>
    <mergeCell ref="A2:H2"/>
    <mergeCell ref="A4:H4"/>
    <mergeCell ref="A17:H17"/>
    <mergeCell ref="A25:H25"/>
    <mergeCell ref="A33:H33"/>
    <mergeCell ref="A39:H39"/>
    <mergeCell ref="A47:H47"/>
    <mergeCell ref="A53:H53"/>
    <mergeCell ref="A66:H66"/>
    <mergeCell ref="A73:H73"/>
    <mergeCell ref="A82:G82"/>
  </mergeCells>
  <hyperlinks>
    <hyperlink ref="D6" r:id="rId1" display="Buy ▸"/>
    <hyperlink ref="D7" r:id="rId2" display="Buy ▸"/>
    <hyperlink ref="D8" r:id="rId3" display="Buy ▸"/>
    <hyperlink ref="D9" r:id="rId4" display="Buy ▸"/>
    <hyperlink ref="D10" r:id="rId5" display="Buy ▸"/>
    <hyperlink ref="D11" r:id="rId6" display="Buy ▸"/>
    <hyperlink ref="D12" r:id="rId7" display="Buy ▸"/>
    <hyperlink ref="D13" r:id="rId8" display="Buy ▸"/>
    <hyperlink ref="D14" r:id="rId9" display="Buy ▸"/>
    <hyperlink ref="D19" r:id="rId10" display="Buy ▸"/>
    <hyperlink ref="D20" r:id="rId11" display="Buy ▸"/>
    <hyperlink ref="D21" r:id="rId12" display="Buy ▸"/>
    <hyperlink ref="D22" r:id="rId13" display="Buy ▸"/>
    <hyperlink ref="D27" r:id="rId14" display="Buy ▸"/>
    <hyperlink ref="D28" r:id="rId15" display="Buy ▸"/>
    <hyperlink ref="D29" r:id="rId16" display="Buy ▸"/>
    <hyperlink ref="D30" r:id="rId17" display="Buy ▸"/>
    <hyperlink ref="D35" r:id="rId18" display="Buy ▸"/>
    <hyperlink ref="D36" r:id="rId19" display="Buy ▸"/>
    <hyperlink ref="D41" r:id="rId20" display="Buy ▸"/>
    <hyperlink ref="D42" r:id="rId21" display="Buy ▸"/>
    <hyperlink ref="D43" r:id="rId22" display="Buy ▸"/>
    <hyperlink ref="D44" r:id="rId23" display="Buy ▸"/>
    <hyperlink ref="D49" r:id="rId24" display="Buy ▸"/>
    <hyperlink ref="D50" r:id="rId25" display="Buy ▸"/>
    <hyperlink ref="D55" r:id="rId26" display="Buy ▸"/>
    <hyperlink ref="D56" r:id="rId27" display="Buy ▸"/>
    <hyperlink ref="D57" r:id="rId28" display="Buy ▸"/>
    <hyperlink ref="D58" r:id="rId29" display="Buy ▸"/>
    <hyperlink ref="D59" r:id="rId30" display="Buy ▸"/>
    <hyperlink ref="D60" r:id="rId31" display="Buy ▸"/>
    <hyperlink ref="D61" r:id="rId32" display="Buy ▸"/>
    <hyperlink ref="D62" r:id="rId33" display="Buy ▸"/>
    <hyperlink ref="D63" r:id="rId34" display="Buy ▸"/>
    <hyperlink ref="D68" r:id="rId35" display="Buy ▸"/>
    <hyperlink ref="D69" r:id="rId36" display="Buy ▸"/>
    <hyperlink ref="D70" r:id="rId37" display="Buy ▸"/>
    <hyperlink ref="D75" r:id="rId38" display="Buy ▸"/>
    <hyperlink ref="D76" r:id="rId39" display="Buy ▸"/>
    <hyperlink ref="D77" r:id="rId40" display="Buy ▸"/>
    <hyperlink ref="D78" r:id="rId41" display="Buy ▸"/>
    <hyperlink ref="D79" r:id="rId42" display="Buy ▸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4"/>
    <col collapsed="false" customWidth="true" hidden="false" outlineLevel="0" max="3" min="3" style="1" width="26"/>
    <col collapsed="false" customWidth="true" hidden="false" outlineLevel="0" max="4" min="4" style="1" width="90"/>
  </cols>
  <sheetData>
    <row r="1" customFormat="false" ht="15.75" hidden="false" customHeight="true" outlineLevel="0" collapsed="false">
      <c r="A1" s="19" t="s">
        <v>115</v>
      </c>
      <c r="B1" s="19"/>
      <c r="C1" s="19"/>
      <c r="D1" s="19"/>
    </row>
    <row r="3" customFormat="false" ht="15" hidden="false" customHeight="true" outlineLevel="0" collapsed="false">
      <c r="A3" s="5" t="s">
        <v>3</v>
      </c>
      <c r="B3" s="5" t="s">
        <v>4</v>
      </c>
      <c r="C3" s="5" t="s">
        <v>5</v>
      </c>
      <c r="D3" s="5" t="s">
        <v>116</v>
      </c>
    </row>
    <row r="4" customFormat="false" ht="15" hidden="false" customHeight="true" outlineLevel="0" collapsed="false">
      <c r="A4" s="7" t="s">
        <v>11</v>
      </c>
      <c r="B4" s="7" t="s">
        <v>12</v>
      </c>
      <c r="C4" s="7" t="s">
        <v>13</v>
      </c>
      <c r="D4" s="20" t="s">
        <v>117</v>
      </c>
    </row>
    <row r="5" customFormat="false" ht="15" hidden="false" customHeight="true" outlineLevel="0" collapsed="false">
      <c r="A5" s="7" t="s">
        <v>16</v>
      </c>
      <c r="B5" s="7" t="s">
        <v>12</v>
      </c>
      <c r="C5" s="7" t="s">
        <v>17</v>
      </c>
      <c r="D5" s="20" t="s">
        <v>118</v>
      </c>
    </row>
    <row r="6" customFormat="false" ht="15" hidden="false" customHeight="true" outlineLevel="0" collapsed="false">
      <c r="A6" s="7" t="s">
        <v>18</v>
      </c>
      <c r="B6" s="7" t="s">
        <v>12</v>
      </c>
      <c r="C6" s="7" t="s">
        <v>19</v>
      </c>
      <c r="D6" s="20" t="s">
        <v>119</v>
      </c>
    </row>
    <row r="7" customFormat="false" ht="15" hidden="false" customHeight="true" outlineLevel="0" collapsed="false">
      <c r="A7" s="7" t="s">
        <v>21</v>
      </c>
      <c r="B7" s="7" t="s">
        <v>12</v>
      </c>
      <c r="C7" s="7" t="s">
        <v>22</v>
      </c>
      <c r="D7" s="20" t="s">
        <v>120</v>
      </c>
    </row>
    <row r="8" customFormat="false" ht="15" hidden="false" customHeight="true" outlineLevel="0" collapsed="false">
      <c r="A8" s="7" t="s">
        <v>23</v>
      </c>
      <c r="B8" s="7" t="s">
        <v>12</v>
      </c>
      <c r="C8" s="7" t="s">
        <v>24</v>
      </c>
      <c r="D8" s="20" t="s">
        <v>121</v>
      </c>
    </row>
    <row r="9" customFormat="false" ht="15" hidden="false" customHeight="true" outlineLevel="0" collapsed="false">
      <c r="A9" s="7" t="s">
        <v>25</v>
      </c>
      <c r="B9" s="7" t="s">
        <v>12</v>
      </c>
      <c r="C9" s="7" t="s">
        <v>26</v>
      </c>
      <c r="D9" s="20" t="s">
        <v>122</v>
      </c>
    </row>
    <row r="10" customFormat="false" ht="15" hidden="false" customHeight="true" outlineLevel="0" collapsed="false">
      <c r="A10" s="7" t="s">
        <v>27</v>
      </c>
      <c r="B10" s="7" t="s">
        <v>12</v>
      </c>
      <c r="C10" s="7" t="s">
        <v>28</v>
      </c>
      <c r="D10" s="20" t="s">
        <v>123</v>
      </c>
    </row>
    <row r="11" customFormat="false" ht="15" hidden="false" customHeight="true" outlineLevel="0" collapsed="false">
      <c r="A11" s="7" t="s">
        <v>29</v>
      </c>
      <c r="B11" s="7" t="s">
        <v>12</v>
      </c>
      <c r="C11" s="7" t="s">
        <v>30</v>
      </c>
      <c r="D11" s="20" t="s">
        <v>124</v>
      </c>
    </row>
    <row r="12" customFormat="false" ht="15" hidden="false" customHeight="true" outlineLevel="0" collapsed="false">
      <c r="A12" s="7" t="s">
        <v>31</v>
      </c>
      <c r="B12" s="7" t="s">
        <v>32</v>
      </c>
      <c r="C12" s="7" t="s">
        <v>33</v>
      </c>
      <c r="D12" s="20" t="s">
        <v>125</v>
      </c>
    </row>
    <row r="13" customFormat="false" ht="15" hidden="false" customHeight="true" outlineLevel="0" collapsed="false">
      <c r="A13" s="7" t="s">
        <v>36</v>
      </c>
      <c r="B13" s="7" t="s">
        <v>12</v>
      </c>
      <c r="C13" s="7" t="s">
        <v>37</v>
      </c>
      <c r="D13" s="20" t="s">
        <v>126</v>
      </c>
    </row>
    <row r="14" customFormat="false" ht="15" hidden="false" customHeight="true" outlineLevel="0" collapsed="false">
      <c r="A14" s="7" t="s">
        <v>38</v>
      </c>
      <c r="B14" s="7" t="s">
        <v>12</v>
      </c>
      <c r="C14" s="7" t="s">
        <v>39</v>
      </c>
      <c r="D14" s="20" t="s">
        <v>127</v>
      </c>
    </row>
    <row r="15" customFormat="false" ht="15" hidden="false" customHeight="true" outlineLevel="0" collapsed="false">
      <c r="A15" s="7" t="s">
        <v>40</v>
      </c>
      <c r="B15" s="7" t="s">
        <v>12</v>
      </c>
      <c r="C15" s="7" t="s">
        <v>41</v>
      </c>
      <c r="D15" s="20" t="s">
        <v>128</v>
      </c>
    </row>
    <row r="16" customFormat="false" ht="23.25" hidden="false" customHeight="true" outlineLevel="0" collapsed="false">
      <c r="A16" s="7" t="s">
        <v>42</v>
      </c>
      <c r="B16" s="7" t="s">
        <v>32</v>
      </c>
      <c r="C16" s="7" t="s">
        <v>43</v>
      </c>
      <c r="D16" s="20" t="s">
        <v>129</v>
      </c>
    </row>
    <row r="17" customFormat="false" ht="15" hidden="false" customHeight="true" outlineLevel="0" collapsed="false">
      <c r="A17" s="7" t="s">
        <v>45</v>
      </c>
      <c r="B17" s="7" t="s">
        <v>32</v>
      </c>
      <c r="C17" s="7" t="s">
        <v>46</v>
      </c>
      <c r="D17" s="20" t="s">
        <v>130</v>
      </c>
    </row>
    <row r="18" customFormat="false" ht="15" hidden="false" customHeight="true" outlineLevel="0" collapsed="false">
      <c r="A18" s="7" t="s">
        <v>47</v>
      </c>
      <c r="B18" s="7" t="s">
        <v>32</v>
      </c>
      <c r="C18" s="7" t="s">
        <v>48</v>
      </c>
      <c r="D18" s="20" t="s">
        <v>131</v>
      </c>
    </row>
    <row r="19" customFormat="false" ht="15" hidden="false" customHeight="true" outlineLevel="0" collapsed="false">
      <c r="A19" s="7" t="s">
        <v>49</v>
      </c>
      <c r="B19" s="7" t="s">
        <v>50</v>
      </c>
      <c r="C19" s="7" t="s">
        <v>51</v>
      </c>
      <c r="D19" s="20" t="s">
        <v>132</v>
      </c>
    </row>
    <row r="20" customFormat="false" ht="15" hidden="false" customHeight="true" outlineLevel="0" collapsed="false">
      <c r="A20" s="7" t="s">
        <v>53</v>
      </c>
      <c r="B20" s="7" t="s">
        <v>32</v>
      </c>
      <c r="C20" s="7" t="s">
        <v>54</v>
      </c>
      <c r="D20" s="20" t="s">
        <v>133</v>
      </c>
    </row>
    <row r="21" customFormat="false" ht="15" hidden="false" customHeight="true" outlineLevel="0" collapsed="false">
      <c r="A21" s="7" t="s">
        <v>57</v>
      </c>
      <c r="B21" s="7" t="s">
        <v>58</v>
      </c>
      <c r="C21" s="7" t="s">
        <v>59</v>
      </c>
      <c r="D21" s="20" t="s">
        <v>134</v>
      </c>
    </row>
    <row r="22" customFormat="false" ht="15" hidden="false" customHeight="true" outlineLevel="0" collapsed="false">
      <c r="A22" s="7" t="s">
        <v>60</v>
      </c>
      <c r="B22" s="7" t="s">
        <v>61</v>
      </c>
      <c r="C22" s="7" t="s">
        <v>62</v>
      </c>
      <c r="D22" s="20" t="s">
        <v>135</v>
      </c>
    </row>
    <row r="23" customFormat="false" ht="15" hidden="false" customHeight="true" outlineLevel="0" collapsed="false">
      <c r="A23" s="7" t="s">
        <v>64</v>
      </c>
      <c r="B23" s="7" t="s">
        <v>32</v>
      </c>
      <c r="C23" s="7" t="s">
        <v>65</v>
      </c>
      <c r="D23" s="20" t="s">
        <v>136</v>
      </c>
    </row>
    <row r="24" customFormat="false" ht="15" hidden="false" customHeight="true" outlineLevel="0" collapsed="false">
      <c r="A24" s="7" t="s">
        <v>66</v>
      </c>
      <c r="B24" s="7" t="s">
        <v>32</v>
      </c>
      <c r="C24" s="7" t="s">
        <v>67</v>
      </c>
      <c r="D24" s="20" t="s">
        <v>137</v>
      </c>
    </row>
    <row r="25" customFormat="false" ht="15" hidden="false" customHeight="true" outlineLevel="0" collapsed="false">
      <c r="A25" s="7" t="s">
        <v>68</v>
      </c>
      <c r="B25" s="7" t="s">
        <v>32</v>
      </c>
      <c r="C25" s="7" t="s">
        <v>69</v>
      </c>
      <c r="D25" s="20" t="s">
        <v>138</v>
      </c>
    </row>
    <row r="26" customFormat="false" ht="15" hidden="false" customHeight="true" outlineLevel="0" collapsed="false">
      <c r="A26" s="7" t="s">
        <v>70</v>
      </c>
      <c r="B26" s="7" t="s">
        <v>32</v>
      </c>
      <c r="C26" s="7" t="s">
        <v>71</v>
      </c>
      <c r="D26" s="20" t="s">
        <v>139</v>
      </c>
    </row>
    <row r="27" customFormat="false" ht="15" hidden="false" customHeight="true" outlineLevel="0" collapsed="false">
      <c r="A27" s="7" t="s">
        <v>73</v>
      </c>
      <c r="B27" s="7" t="s">
        <v>32</v>
      </c>
      <c r="C27" s="7" t="s">
        <v>74</v>
      </c>
      <c r="D27" s="20" t="s">
        <v>140</v>
      </c>
    </row>
    <row r="28" customFormat="false" ht="15" hidden="false" customHeight="true" outlineLevel="0" collapsed="false">
      <c r="A28" s="7" t="s">
        <v>75</v>
      </c>
      <c r="B28" s="7" t="s">
        <v>12</v>
      </c>
      <c r="C28" s="7" t="s">
        <v>76</v>
      </c>
      <c r="D28" s="20" t="s">
        <v>141</v>
      </c>
    </row>
    <row r="29" customFormat="false" ht="15" hidden="false" customHeight="true" outlineLevel="0" collapsed="false">
      <c r="A29" s="7" t="s">
        <v>78</v>
      </c>
      <c r="B29" s="7" t="s">
        <v>12</v>
      </c>
      <c r="C29" s="7" t="s">
        <v>79</v>
      </c>
      <c r="D29" s="20" t="s">
        <v>142</v>
      </c>
    </row>
    <row r="30" customFormat="false" ht="15" hidden="false" customHeight="true" outlineLevel="0" collapsed="false">
      <c r="A30" s="7" t="s">
        <v>80</v>
      </c>
      <c r="B30" s="7" t="s">
        <v>12</v>
      </c>
      <c r="C30" s="7" t="s">
        <v>81</v>
      </c>
      <c r="D30" s="20" t="s">
        <v>143</v>
      </c>
    </row>
    <row r="31" customFormat="false" ht="15" hidden="false" customHeight="true" outlineLevel="0" collapsed="false">
      <c r="A31" s="7" t="s">
        <v>82</v>
      </c>
      <c r="B31" s="7" t="s">
        <v>32</v>
      </c>
      <c r="C31" s="7" t="s">
        <v>83</v>
      </c>
      <c r="D31" s="20" t="s">
        <v>144</v>
      </c>
    </row>
    <row r="32" customFormat="false" ht="15" hidden="false" customHeight="true" outlineLevel="0" collapsed="false">
      <c r="A32" s="7" t="s">
        <v>84</v>
      </c>
      <c r="B32" s="7" t="s">
        <v>32</v>
      </c>
      <c r="C32" s="7" t="s">
        <v>85</v>
      </c>
      <c r="D32" s="20" t="s">
        <v>145</v>
      </c>
    </row>
    <row r="33" customFormat="false" ht="15" hidden="false" customHeight="true" outlineLevel="0" collapsed="false">
      <c r="A33" s="7" t="s">
        <v>86</v>
      </c>
      <c r="B33" s="7" t="s">
        <v>32</v>
      </c>
      <c r="C33" s="7" t="s">
        <v>87</v>
      </c>
      <c r="D33" s="20" t="s">
        <v>146</v>
      </c>
    </row>
    <row r="34" customFormat="false" ht="15" hidden="false" customHeight="true" outlineLevel="0" collapsed="false">
      <c r="A34" s="7" t="s">
        <v>88</v>
      </c>
      <c r="B34" s="7" t="s">
        <v>32</v>
      </c>
      <c r="C34" s="7" t="s">
        <v>89</v>
      </c>
      <c r="D34" s="20" t="s">
        <v>147</v>
      </c>
    </row>
    <row r="35" customFormat="false" ht="15" hidden="false" customHeight="true" outlineLevel="0" collapsed="false">
      <c r="A35" s="7" t="s">
        <v>90</v>
      </c>
      <c r="B35" s="7" t="s">
        <v>32</v>
      </c>
      <c r="C35" s="7" t="s">
        <v>91</v>
      </c>
      <c r="D35" s="20" t="s">
        <v>148</v>
      </c>
    </row>
    <row r="36" customFormat="false" ht="15" hidden="false" customHeight="true" outlineLevel="0" collapsed="false">
      <c r="A36" s="7" t="s">
        <v>92</v>
      </c>
      <c r="B36" s="7" t="s">
        <v>32</v>
      </c>
      <c r="C36" s="7" t="s">
        <v>93</v>
      </c>
      <c r="D36" s="20" t="s">
        <v>149</v>
      </c>
    </row>
    <row r="37" customFormat="false" ht="15" hidden="false" customHeight="true" outlineLevel="0" collapsed="false">
      <c r="A37" s="7" t="s">
        <v>94</v>
      </c>
      <c r="B37" s="7" t="s">
        <v>32</v>
      </c>
      <c r="C37" s="7" t="s">
        <v>95</v>
      </c>
      <c r="D37" s="20" t="s">
        <v>150</v>
      </c>
    </row>
    <row r="38" customFormat="false" ht="15" hidden="false" customHeight="true" outlineLevel="0" collapsed="false">
      <c r="A38" s="7" t="s">
        <v>97</v>
      </c>
      <c r="B38" s="7" t="s">
        <v>12</v>
      </c>
      <c r="C38" s="7" t="s">
        <v>98</v>
      </c>
      <c r="D38" s="20" t="s">
        <v>151</v>
      </c>
    </row>
    <row r="39" customFormat="false" ht="15" hidden="false" customHeight="true" outlineLevel="0" collapsed="false">
      <c r="A39" s="7" t="s">
        <v>99</v>
      </c>
      <c r="B39" s="7" t="s">
        <v>32</v>
      </c>
      <c r="C39" s="7" t="s">
        <v>100</v>
      </c>
      <c r="D39" s="20" t="s">
        <v>152</v>
      </c>
    </row>
    <row r="40" customFormat="false" ht="15" hidden="false" customHeight="true" outlineLevel="0" collapsed="false">
      <c r="A40" s="7" t="s">
        <v>101</v>
      </c>
      <c r="B40" s="7" t="s">
        <v>32</v>
      </c>
      <c r="C40" s="7" t="s">
        <v>102</v>
      </c>
      <c r="D40" s="20" t="s">
        <v>153</v>
      </c>
    </row>
    <row r="41" customFormat="false" ht="23.25" hidden="false" customHeight="true" outlineLevel="0" collapsed="false">
      <c r="A41" s="7" t="s">
        <v>104</v>
      </c>
      <c r="B41" s="7" t="s">
        <v>32</v>
      </c>
      <c r="C41" s="7" t="s">
        <v>105</v>
      </c>
      <c r="D41" s="20" t="s">
        <v>154</v>
      </c>
    </row>
    <row r="42" customFormat="false" ht="15" hidden="false" customHeight="true" outlineLevel="0" collapsed="false">
      <c r="A42" s="7" t="s">
        <v>106</v>
      </c>
      <c r="B42" s="7" t="s">
        <v>32</v>
      </c>
      <c r="C42" s="7" t="s">
        <v>107</v>
      </c>
      <c r="D42" s="20" t="s">
        <v>155</v>
      </c>
    </row>
    <row r="43" customFormat="false" ht="15" hidden="false" customHeight="true" outlineLevel="0" collapsed="false">
      <c r="A43" s="7" t="s">
        <v>108</v>
      </c>
      <c r="B43" s="7" t="s">
        <v>32</v>
      </c>
      <c r="C43" s="7" t="s">
        <v>109</v>
      </c>
      <c r="D43" s="20" t="s">
        <v>156</v>
      </c>
    </row>
    <row r="44" customFormat="false" ht="15" hidden="false" customHeight="true" outlineLevel="0" collapsed="false">
      <c r="A44" s="7" t="s">
        <v>110</v>
      </c>
      <c r="B44" s="7" t="s">
        <v>32</v>
      </c>
      <c r="C44" s="7" t="s">
        <v>111</v>
      </c>
      <c r="D44" s="20" t="s">
        <v>157</v>
      </c>
    </row>
    <row r="45" customFormat="false" ht="15" hidden="false" customHeight="true" outlineLevel="0" collapsed="false">
      <c r="A45" s="7" t="s">
        <v>112</v>
      </c>
      <c r="B45" s="7" t="s">
        <v>32</v>
      </c>
      <c r="C45" s="7" t="s">
        <v>113</v>
      </c>
      <c r="D45" s="20" t="s">
        <v>158</v>
      </c>
    </row>
  </sheetData>
  <mergeCells count="1">
    <mergeCell ref="A1:D1"/>
  </mergeCells>
  <hyperlinks>
    <hyperlink ref="D4" r:id="rId1" display="https://www.adafruit.com/product/5812"/>
    <hyperlink ref="D5" r:id="rId2" display="https://www.adafruit.com/product/5815"/>
    <hyperlink ref="D6" r:id="rId3" display="https://www.adafruit.com/product/4754"/>
    <hyperlink ref="D7" r:id="rId4" display="https://www.adafruit.com/product/4692"/>
    <hyperlink ref="D8" r:id="rId5" display="https://www.adafruit.com/product/4488"/>
    <hyperlink ref="D9" r:id="rId6" display="https://www.adafruit.com/product/2651"/>
    <hyperlink ref="D10" r:id="rId7" display="https://www.adafruit.com/product/5046"/>
    <hyperlink ref="D11" r:id="rId8" display="https://www.adafruit.com/product/2717"/>
    <hyperlink ref="D12" r:id="rId9" display="https://www.amazon.com/LAFVIN-Board-ATmega328P-Micro-Controller-Arduino/dp/B07G99NNXL"/>
    <hyperlink ref="D13" r:id="rId10" display="https://www.adafruit.com/product/5657"/>
    <hyperlink ref="D14" r:id="rId11" display="https://www.adafruit.com/product/5818"/>
    <hyperlink ref="D15" r:id="rId12" display="https://www.adafruit.com/product/4682"/>
    <hyperlink ref="D16" r:id="rId13" display="https://www.amazon.com/dp/B08GY9NYRM"/>
    <hyperlink ref="D17" r:id="rId14" display="https://www.amazon.com/Converter-DROK-Regulator-Inverter-Transformer/dp/B01NALDSJ0"/>
    <hyperlink ref="D18" r:id="rId15" display="https://www.amazon.com/Converter-DROK-Regulator-Transformer-Protection/dp/B07FL6PBZF"/>
    <hyperlink ref="D19" r:id="rId16" display="https://power.tenergy.com/at-tenery-12v-1300mah-nicd-rechargeable-battery-pack-10s1p-15-6wh-13a-rate-mini-tamiya-connector-flat-config/"/>
    <hyperlink ref="D20" r:id="rId17" display="https://www.amazon.com/dp/B0852HX9HV"/>
    <hyperlink ref="D21" r:id="rId18" display="https://apogeerockets.com/index.php?cpath=&amp;main_page=product_info&amp;products_id=2048"/>
    <hyperlink ref="D22" r:id="rId19" display="https://jollylogic.com/products/altimetertwo/"/>
    <hyperlink ref="D23" r:id="rId20" display="https://www.amazon.com/dp/B0CTG4X882"/>
    <hyperlink ref="D24" r:id="rId21" display="https://www.amazon.com/dp/B01I1J14MO"/>
    <hyperlink ref="D25" r:id="rId22" display="https://www.amazon.com/dp/B0FC2CQF24"/>
    <hyperlink ref="D26" r:id="rId23" display="https://www.amazon.com/dp/B093G7WYY9"/>
    <hyperlink ref="D27" r:id="rId24" display="https://www.amazon.com/ANNIMOS-Waterproof-Torque-Digital-Steering/dp/B0BBB8DBRR"/>
    <hyperlink ref="D28" r:id="rId25" display="https://www.adafruit.com/product/815"/>
    <hyperlink ref="D29" r:id="rId26" display="https://www.adafruit.com/product/4209"/>
    <hyperlink ref="D30" r:id="rId27" display="https://www.adafruit.com/product/4397"/>
    <hyperlink ref="D31" r:id="rId28" display="https://www.amazon.com/dp/B07G2BWBX8"/>
    <hyperlink ref="D32" r:id="rId29" display="https://www.amazon.com/dp/B0C1VDKPW2"/>
    <hyperlink ref="D33" r:id="rId30" display="https://www.amazon.com/dp/B01MT921QT"/>
    <hyperlink ref="D34" r:id="rId31" display="https://www.amazon.com/dp/B072Z92QZ2"/>
    <hyperlink ref="D35" r:id="rId32" display="https://www.amazon.com/dp/B071H5XC7C"/>
    <hyperlink ref="D36" r:id="rId33" display="https://www.amazon.com/dp/B000XBH9HI"/>
    <hyperlink ref="D37" r:id="rId34" display="https://www.amazon.com/dp/B0B5VNG2YT"/>
    <hyperlink ref="D38" r:id="rId35" display="https://www.adafruit.com/product/2223"/>
    <hyperlink ref="D39" r:id="rId36" display="https://www.amazon.com/dp/B07PHBTTGV"/>
    <hyperlink ref="D40" r:id="rId37" display="https://www.amazon.com/dp/B08ZRT496D"/>
    <hyperlink ref="D41" r:id="rId38" display="https://www.amazon.com/Soldering-Iron-Kit-Temperature-Desoldering/dp/B07Q2B4ZY9"/>
    <hyperlink ref="D42" r:id="rId39" display="https://www.amazon.com/AstroAI-Multimeter-Resistance-Transistors-Temperature/dp/B071JL6LLL"/>
    <hyperlink ref="D43" r:id="rId40" display="https://www.amazon.com/SainSmart-Magnetic-Soldering-Magnifying-Flexible/dp/B09B73XL33"/>
    <hyperlink ref="D44" r:id="rId41" display="https://www.amazon.com/iFixit-Pro-Tech-Toolkit-Electronics/dp/B01GF0KV6G"/>
    <hyperlink ref="D45" r:id="rId42" display="https://www.amazon.com/Neiko-01407A-Electronic-Digital-Stainless/dp/B000GSLKIW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2026-06-21T03:31:59Z</dcterms:created>
  <dc:creator>openpyxl</dc:creator>
  <dc:description/>
  <dc:language>en-US</dc:language>
  <cp:lastModifiedBy/>
  <dcterms:modified xsi:type="dcterms:W3CDTF">2026-06-21T03:49:27Z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