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gineering BOM" sheetId="1" state="visible" r:id="rId3"/>
    <sheet name="Procurement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<sst xmlns="http://schemas.openxmlformats.org/spreadsheetml/2006/main" count="240" uniqueCount="179">
  <si>
    <t xml:space="preserve">Category / Item</t>
  </si>
  <si>
    <t xml:space="preserve">Part No. / Source</t>
  </si>
  <si>
    <t xml:space="preserve">Qty</t>
  </si>
  <si>
    <t xml:space="preserve">Unit Cost ($)</t>
  </si>
  <si>
    <t xml:space="preserve">Line Total ($)</t>
  </si>
  <si>
    <t xml:space="preserve">Notes / Link</t>
  </si>
  <si>
    <t xml:space="preserve">Avionics — Two-Board Stack (Board 1 TVC Actuator + Board 2 Main FC)</t>
  </si>
  <si>
    <t xml:space="preserve">RP2350B flight MCU (sole processor)</t>
  </si>
  <si>
    <t xml:space="preserve">Raspberry Pi QFN-80 (C42415655)</t>
  </si>
  <si>
    <t xml:space="preserve">single MCU for both boards' logic</t>
  </si>
  <si>
    <t xml:space="preserve">W25Q32JV QSPI boot flash</t>
  </si>
  <si>
    <t xml:space="preserve">Winbond SOIC-8 (C82344)</t>
  </si>
  <si>
    <t xml:space="preserve">SD-NAND data recorder (4 GB)</t>
  </si>
  <si>
    <t xml:space="preserve">XTX XTSD04G LGA-8 (C558839)</t>
  </si>
  <si>
    <t xml:space="preserve">microSD card socket (J7, edge push-pull)</t>
  </si>
  <si>
    <t xml:space="preserve">Attend/Hanbo</t>
  </si>
  <si>
    <t xml:space="preserve">ICM-42688-P 6-axis IMU</t>
  </si>
  <si>
    <t xml:space="preserve">TDK (C1850418)</t>
  </si>
  <si>
    <t xml:space="preserve">BME688 gas/T/RH (Main FC)</t>
  </si>
  <si>
    <t xml:space="preserve">Bosch (C3664478)</t>
  </si>
  <si>
    <t xml:space="preserve">BMP280 barometer (TVC board)</t>
  </si>
  <si>
    <t xml:space="preserve">Bosch (C83291)</t>
  </si>
  <si>
    <t xml:space="preserve">LIS3MDL magnetometer</t>
  </si>
  <si>
    <t xml:space="preserve">ST (C478483)</t>
  </si>
  <si>
    <t xml:space="preserve">BNO055 9-DOF (onboard, 1 per board)</t>
  </si>
  <si>
    <t xml:space="preserve">Bosch LGA-28 (C93216)</t>
  </si>
  <si>
    <t xml:space="preserve">INA219 bus current monitor (1 per board)</t>
  </si>
  <si>
    <t xml:space="preserve">TI (C87469)</t>
  </si>
  <si>
    <t xml:space="preserve">MAX713ESE+ NiCd fast-charge controller</t>
  </si>
  <si>
    <t xml:space="preserve">ADI/Maxim SOIC-16</t>
  </si>
  <si>
    <t xml:space="preserve">not EPE/PDIP</t>
  </si>
  <si>
    <t xml:space="preserve">TPS54202 buck (3V3 &amp; 5V, per board)</t>
  </si>
  <si>
    <t xml:space="preserve">TI (C191884)</t>
  </si>
  <si>
    <t xml:space="preserve">AO3400A N-FETs (3 solenoid + 3 pyro low-side)</t>
  </si>
  <si>
    <t xml:space="preserve">AOS SOT-23 (C20917)</t>
  </si>
  <si>
    <t xml:space="preserve">NTR4171P reverse-polarity P-FET</t>
  </si>
  <si>
    <t xml:space="preserve">onsemi SOT-23 (C146715)</t>
  </si>
  <si>
    <t xml:space="preserve">10S NiCd bus protection</t>
  </si>
  <si>
    <t xml:space="preserve">MMBT3906 PNP (NiCd charger pass transistor, B2 Q3)</t>
  </si>
  <si>
    <t xml:space="preserve">onsemi SOT-23 (C2145)</t>
  </si>
  <si>
    <t xml:space="preserve">verified vs final B2 gerber BOM</t>
  </si>
  <si>
    <t xml:space="preserve">SS34 freewheel/boost diode</t>
  </si>
  <si>
    <t xml:space="preserve">SMA (C8678)</t>
  </si>
  <si>
    <t xml:space="preserve">USBLC6 + SMF05C ESD arrays</t>
  </si>
  <si>
    <t xml:space="preserve">ST/onsemi (C7519/C558425)</t>
  </si>
  <si>
    <t xml:space="preserve">SMBJ16A TVS + PPTC fuse (per board)</t>
  </si>
  <si>
    <t xml:space="preserve">(C135050)</t>
  </si>
  <si>
    <t xml:space="preserve">Arducam/OV parallel camera module + header</t>
  </si>
  <si>
    <t xml:space="preserve">OV-series</t>
  </si>
  <si>
    <t xml:space="preserve">USB-C 2.0 receptacle</t>
  </si>
  <si>
    <t xml:space="preserve">GCT (C165948)</t>
  </si>
  <si>
    <t xml:space="preserve">12 MHz crystal (10 pF load)</t>
  </si>
  <si>
    <t xml:space="preserve">3225 4-pad (C518157)</t>
  </si>
  <si>
    <t xml:space="preserve">470 uF 25V bulk cap (B1 C1, B2 C16)</t>
  </si>
  <si>
    <t xml:space="preserve">radial</t>
  </si>
  <si>
    <t xml:space="preserve">100 uF 25V bulk cap (B2 C24)</t>
  </si>
  <si>
    <t xml:space="preserve">2512 shunts (0.01 ohm x2 + 0.5 ohm x1)</t>
  </si>
  <si>
    <t xml:space="preserve">1%</t>
  </si>
  <si>
    <t xml:space="preserve">RBF pull-pin + headers / screw term / XT30</t>
  </si>
  <si>
    <t xml:space="preserve">assorted</t>
  </si>
  <si>
    <t xml:space="preserve">Passives lot (0603 R/C, crystal caps, LED)</t>
  </si>
  <si>
    <t xml:space="preserve">PCB fabrication — Board 1 (2-layer) + Board 2 (4-layer ENIG)</t>
  </si>
  <si>
    <t xml:space="preserve">JLCPCB</t>
  </si>
  <si>
    <t xml:space="preserve">board-fab only, not full PCBA</t>
  </si>
  <si>
    <t xml:space="preserve">  Subtotal — Avionics — Two-Board Stack (Board 1 TVC Actuator + Board 2 Main FC)</t>
  </si>
  <si>
    <t xml:space="preserve">External Modules</t>
  </si>
  <si>
    <t xml:space="preserve">BNO055 9-DOF breakout (gimbal-mounted)</t>
  </si>
  <si>
    <t xml:space="preserve">Adafruit 2472</t>
  </si>
  <si>
    <t xml:space="preserve">https://www.adafruit.com/product/2472</t>
  </si>
  <si>
    <t xml:space="preserve">LoRa E22-900M22S 915 MHz telemetry module</t>
  </si>
  <si>
    <t xml:space="preserve">Ebyte</t>
  </si>
  <si>
    <t xml:space="preserve">https://www.cdebyte.com -- DESIGNED-IN, NOT YET ORDERED (absent from procurement tracker)</t>
  </si>
  <si>
    <t xml:space="preserve">Piezo vibration sensor</t>
  </si>
  <si>
    <t xml:space="preserve">film, analog -&gt; ADC</t>
  </si>
  <si>
    <t xml:space="preserve">  Subtotal — External Modules</t>
  </si>
  <si>
    <t xml:space="preserve">Actuators &amp; Power</t>
  </si>
  <si>
    <t xml:space="preserve">12 V mini electromagnet (TVC solenoid)</t>
  </si>
  <si>
    <t xml:space="preserve">TOMSHIELE</t>
  </si>
  <si>
    <t xml:space="preserve">https://www.amazon.com/dp/B0CTG4X882</t>
  </si>
  <si>
    <t xml:space="preserve">12 V 1300 mAh NiCd 10S1P pack</t>
  </si>
  <si>
    <t xml:space="preserve">Tenergy</t>
  </si>
  <si>
    <t xml:space="preserve">https://power.tenergy.com</t>
  </si>
  <si>
    <t xml:space="preserve">  Subtotal — Actuators &amp; Power</t>
  </si>
  <si>
    <t xml:space="preserve">Propulsion (per flight)</t>
  </si>
  <si>
    <t xml:space="preserve">AeroTech G78 Mojave Green 29 mm (booster)</t>
  </si>
  <si>
    <t xml:space="preserve">BuyRocketMotors</t>
  </si>
  <si>
    <t xml:space="preserve">https://www.buyrocketmotors.com -- corrected 2026-06-20 to actual procurement price</t>
  </si>
  <si>
    <t xml:space="preserve">AeroTech F25 White Lightning 29 mm (sustainer)</t>
  </si>
  <si>
    <t xml:space="preserve">First Fire Jr starters (3-pack)</t>
  </si>
  <si>
    <t xml:space="preserve">AeroTech</t>
  </si>
  <si>
    <t xml:space="preserve">MJG Firewire Initiator (3 ft leads)</t>
  </si>
  <si>
    <t xml:space="preserve">MJG</t>
  </si>
  <si>
    <t xml:space="preserve">E-Match Mate bulkhead canister (2 pk)</t>
  </si>
  <si>
    <t xml:space="preserve">Apogee</t>
  </si>
  <si>
    <t xml:space="preserve">FFFFg black powder (per-flight lot)</t>
  </si>
  <si>
    <t xml:space="preserve">-</t>
  </si>
  <si>
    <t xml:space="preserve">  Subtotal — Propulsion (per flight)</t>
  </si>
  <si>
    <t xml:space="preserve">Recovery</t>
  </si>
  <si>
    <t xml:space="preserve">18 in elliptical chute (booster, 6.0 m/s)</t>
  </si>
  <si>
    <t xml:space="preserve">24 in elliptical chute (sustainer main, 7.5 m/s, carries avionics)</t>
  </si>
  <si>
    <t xml:space="preserve">1/8 in tubular Kevlar shock cord</t>
  </si>
  <si>
    <t xml:space="preserve">BuyRocketMotors (6 ft)</t>
  </si>
  <si>
    <t xml:space="preserve">https://www.buyrocketmotors.com</t>
  </si>
  <si>
    <t xml:space="preserve">  Subtotal — Recovery</t>
  </si>
  <si>
    <t xml:space="preserve">Airframe &amp; Mechanism (filament, by mass, kg basis)</t>
  </si>
  <si>
    <t xml:space="preserve">PETG-CF (primary structure)</t>
  </si>
  <si>
    <t xml:space="preserve">Bambu Labs, Procurement Log</t>
  </si>
  <si>
    <t xml:space="preserve">kg basis -- actual spool price</t>
  </si>
  <si>
    <t xml:space="preserve">PLA Basic (RQ2 candidate / fin test articles)</t>
  </si>
  <si>
    <t xml:space="preserve">ASA Aero (nose / fairings)</t>
  </si>
  <si>
    <t xml:space="preserve">PC-FR (fins)</t>
  </si>
  <si>
    <t xml:space="preserve">kg basis -- swapped from plain PC (never purchased) to PC-FR actual price 2026-06-20</t>
  </si>
  <si>
    <t xml:space="preserve">PC-FR (TVC + test stand)</t>
  </si>
  <si>
    <t xml:space="preserve">  Subtotal — Airframe &amp; Mechanism (filament, by mass)</t>
  </si>
  <si>
    <t xml:space="preserve">Ground Support Equipment (one-time)</t>
  </si>
  <si>
    <t xml:space="preserve">Estes Pro Series II Launch Controller</t>
  </si>
  <si>
    <t xml:space="preserve">Estes</t>
  </si>
  <si>
    <t xml:space="preserve">Estes Pro Series II Launch Rail</t>
  </si>
  <si>
    <t xml:space="preserve">separate from controller, corrected 2026-06-20</t>
  </si>
  <si>
    <t xml:space="preserve">Wishiot 10 kg load cell + HX711</t>
  </si>
  <si>
    <t xml:space="preserve">Amazon</t>
  </si>
  <si>
    <t xml:space="preserve">https://www.amazon.com/dp/B0CRCY863F</t>
  </si>
  <si>
    <t xml:space="preserve">Adafruit Metro M4</t>
  </si>
  <si>
    <t xml:space="preserve">Adafruit</t>
  </si>
  <si>
    <t xml:space="preserve">microSD breakout</t>
  </si>
  <si>
    <t xml:space="preserve">Adafruit/SparkFun</t>
  </si>
  <si>
    <t xml:space="preserve">PLA filament (wind tunnel)</t>
  </si>
  <si>
    <t xml:space="preserve">est</t>
  </si>
  <si>
    <t xml:space="preserve">g basis</t>
  </si>
  <si>
    <t xml:space="preserve">  Subtotal — Ground Support Equipment (one-time)</t>
  </si>
  <si>
    <t xml:space="preserve">GRAND TOTAL (per-unit engineering BOM)</t>
  </si>
  <si>
    <t xml:space="preserve">Actual procurement to date (dedup., PCB at JLCPCB estimate; see Procurement Log tab)</t>
  </si>
  <si>
    <t xml:space="preserve">Note: filament costs are by mass (Qty = kg, Unit = $/kg, actual Procurement Log spool prices except PC fins which remains an estimate). GSE &amp; PCB fab are one-time. Per-flight consumables = Propulsion subtotal ($84.13); chutes/cord are reusable. Updated 2026-06-20: avionics cross-checked vs final gerber BOM (BNO055 qty, cap split, shunt count, MMBT3906 added), motor pricing corrected to actual (G78 $31.19, F25 $27.00).</t>
  </si>
  <si>
    <t xml:space="preserve">Type</t>
  </si>
  <si>
    <t xml:space="preserve">Item</t>
  </si>
  <si>
    <t xml:space="preserve">Unit ($)</t>
  </si>
  <si>
    <t xml:space="preserve">Status</t>
  </si>
  <si>
    <t xml:space="preserve">Line ($)</t>
  </si>
  <si>
    <t xml:space="preserve">3D Printing</t>
  </si>
  <si>
    <t xml:space="preserve">Bambu PETG-CF filament (1 kg)</t>
  </si>
  <si>
    <t xml:space="preserve">Acquired</t>
  </si>
  <si>
    <t xml:space="preserve">Bambu PLA Basic filament (1 kg)</t>
  </si>
  <si>
    <t xml:space="preserve">Bambu ASA Aero filament w/ spool (1 kg)</t>
  </si>
  <si>
    <t xml:space="preserve">Requisitioned</t>
  </si>
  <si>
    <t xml:space="preserve">Bambu PC-FR filament w/ spool (1 kg)</t>
  </si>
  <si>
    <t xml:space="preserve">Rocketry</t>
  </si>
  <si>
    <t xml:space="preserve">Estes Pro Series II launch controller</t>
  </si>
  <si>
    <t xml:space="preserve">Aero Budget</t>
  </si>
  <si>
    <t xml:space="preserve">Estes Pro Series II launch rail (separate line from controller -- added 2026-06-20)</t>
  </si>
  <si>
    <t xml:space="preserve">AeroTech F25-4 motor (29 mm)</t>
  </si>
  <si>
    <t xml:space="preserve">AeroTech G78-4 motor (29 mm)</t>
  </si>
  <si>
    <t xml:space="preserve">24 in rip-stop nylon parachute</t>
  </si>
  <si>
    <t xml:space="preserve">Electronics</t>
  </si>
  <si>
    <t xml:space="preserve">Jolly Logic Altimeter 2</t>
  </si>
  <si>
    <t xml:space="preserve">24 AWG flexible silicone wire</t>
  </si>
  <si>
    <t xml:space="preserve">Arduino Nano V3 ATmega328P (3-pack)</t>
  </si>
  <si>
    <t xml:space="preserve">Adafruit BNO085 9-DOF IMU breakout</t>
  </si>
  <si>
    <t xml:space="preserve">STEMMA QT/Qwiic cable, female</t>
  </si>
  <si>
    <t xml:space="preserve">STEMMA QT/Qwiic cable, male</t>
  </si>
  <si>
    <t xml:space="preserve">Tenergy 12 V 1300 mAh NiCd pack (10S1P)</t>
  </si>
  <si>
    <t xml:space="preserve">50 N 12 V micro lifting solenoid</t>
  </si>
  <si>
    <t xml:space="preserve">Order In-Progress</t>
  </si>
  <si>
    <t xml:space="preserve">Breadboard jumper wire kit</t>
  </si>
  <si>
    <t xml:space="preserve">N52 rare-earth magnets (20 ct)</t>
  </si>
  <si>
    <t xml:space="preserve">IRF520 MOSFET driver (4 ct)</t>
  </si>
  <si>
    <t xml:space="preserve">1N4007 rectifier diode (125 ct)</t>
  </si>
  <si>
    <t xml:space="preserve">12 V 2 A power supply adapter</t>
  </si>
  <si>
    <t xml:space="preserve">5-pack IDC 2x10 20P female connector</t>
  </si>
  <si>
    <t xml:space="preserve">WYVERN-E custom PCBs (2 boards, 5 of each) -- ESTIMATED landed PCBA (substituted for $600.00 actual/quoted; see WYVERN_E2_JLCPCB_Cost_Analysis.md Sec.4/6)</t>
  </si>
  <si>
    <t xml:space="preserve">Requisitioned (est.)</t>
  </si>
  <si>
    <t xml:space="preserve">Hand Tools</t>
  </si>
  <si>
    <t xml:space="preserve">Kapton high-temp tape</t>
  </si>
  <si>
    <t xml:space="preserve">J-B Weld twin-tube epoxy</t>
  </si>
  <si>
    <t xml:space="preserve">Super Lube PTFE grease</t>
  </si>
  <si>
    <t xml:space="preserve">TOTAL (27 deduplicated line items + launch rail, PCB at estimate)</t>
  </si>
  <si>
    <t xml:space="preserve">Source tracker total (59 rows incl. 2 duplicate motor-status rows, $600 PCB placeholder):</t>
  </si>
  <si>
    <t xml:space="preserve">Planning - CSW Aerospace Budget.pdf</t>
  </si>
  <si>
    <t xml:space="preserve">Dedup + PCB-estimate reduction vs. source (excl. launch rail, which is outside the source tracker)</t>
  </si>
  <si>
    <t xml:space="preserve">Procurement gap not yet captured above: LoRa E22-900M22S telemetry module ($8.00, Engineering BOM External Modules) -- designed-in, not yet ordered.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</si>
</sst>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FF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9E2F3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9DC3E6"/>
        <bgColor rgb="FFBFBFBF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3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/>
      <c r="C2" s="4"/>
      <c r="D2" s="4"/>
      <c r="E2" s="4"/>
      <c r="F2" s="4"/>
    </row>
    <row r="3" customFormat="false" ht="15" hidden="false" customHeight="true" outlineLevel="0" collapsed="false">
      <c r="A3" s="5" t="s">
        <v>7</v>
      </c>
      <c r="B3" s="5" t="s">
        <v>8</v>
      </c>
      <c r="C3" s="6" t="n">
        <v>1</v>
      </c>
      <c r="D3" s="7" t="n">
        <v>1.2</v>
      </c>
      <c r="E3" s="8" t="n">
        <f aca="false">C3*D3</f>
        <v>1.2</v>
      </c>
      <c r="F3" s="9" t="s">
        <v>9</v>
      </c>
    </row>
    <row r="4" customFormat="false" ht="15" hidden="false" customHeight="true" outlineLevel="0" collapsed="false">
      <c r="A4" s="5" t="s">
        <v>10</v>
      </c>
      <c r="B4" s="5" t="s">
        <v>11</v>
      </c>
      <c r="C4" s="6" t="n">
        <v>1</v>
      </c>
      <c r="D4" s="7" t="n">
        <v>0.45</v>
      </c>
      <c r="E4" s="8" t="n">
        <f aca="false">C4*D4</f>
        <v>0.45</v>
      </c>
      <c r="F4" s="9"/>
    </row>
    <row r="5" customFormat="false" ht="15" hidden="false" customHeight="true" outlineLevel="0" collapsed="false">
      <c r="A5" s="5" t="s">
        <v>12</v>
      </c>
      <c r="B5" s="5" t="s">
        <v>13</v>
      </c>
      <c r="C5" s="6" t="n">
        <v>1</v>
      </c>
      <c r="D5" s="7" t="n">
        <v>5.3</v>
      </c>
      <c r="E5" s="8" t="n">
        <f aca="false">C5*D5</f>
        <v>5.3</v>
      </c>
      <c r="F5" s="9"/>
    </row>
    <row r="6" customFormat="false" ht="15" hidden="false" customHeight="true" outlineLevel="0" collapsed="false">
      <c r="A6" s="5" t="s">
        <v>14</v>
      </c>
      <c r="B6" s="5" t="s">
        <v>15</v>
      </c>
      <c r="C6" s="6" t="n">
        <v>1</v>
      </c>
      <c r="D6" s="7" t="n">
        <v>0.9</v>
      </c>
      <c r="E6" s="8" t="n">
        <f aca="false">C6*D6</f>
        <v>0.9</v>
      </c>
      <c r="F6" s="9"/>
    </row>
    <row r="7" customFormat="false" ht="15" hidden="false" customHeight="true" outlineLevel="0" collapsed="false">
      <c r="A7" s="5" t="s">
        <v>16</v>
      </c>
      <c r="B7" s="5" t="s">
        <v>17</v>
      </c>
      <c r="C7" s="6" t="n">
        <v>1</v>
      </c>
      <c r="D7" s="7" t="n">
        <v>6.5</v>
      </c>
      <c r="E7" s="8" t="n">
        <f aca="false">C7*D7</f>
        <v>6.5</v>
      </c>
      <c r="F7" s="9"/>
    </row>
    <row r="8" customFormat="false" ht="15" hidden="false" customHeight="true" outlineLevel="0" collapsed="false">
      <c r="A8" s="5" t="s">
        <v>18</v>
      </c>
      <c r="B8" s="5" t="s">
        <v>19</v>
      </c>
      <c r="C8" s="6" t="n">
        <v>2</v>
      </c>
      <c r="D8" s="7" t="n">
        <v>3.5</v>
      </c>
      <c r="E8" s="8" t="n">
        <f aca="false">C8*D8</f>
        <v>7</v>
      </c>
      <c r="F8" s="9"/>
    </row>
    <row r="9" customFormat="false" ht="15" hidden="false" customHeight="true" outlineLevel="0" collapsed="false">
      <c r="A9" s="5" t="s">
        <v>20</v>
      </c>
      <c r="B9" s="5" t="s">
        <v>21</v>
      </c>
      <c r="C9" s="6" t="n">
        <v>1</v>
      </c>
      <c r="D9" s="7" t="n">
        <v>2</v>
      </c>
      <c r="E9" s="8" t="n">
        <f aca="false">C9*D9</f>
        <v>2</v>
      </c>
      <c r="F9" s="9"/>
    </row>
    <row r="10" customFormat="false" ht="15" hidden="false" customHeight="true" outlineLevel="0" collapsed="false">
      <c r="A10" s="5" t="s">
        <v>22</v>
      </c>
      <c r="B10" s="5" t="s">
        <v>23</v>
      </c>
      <c r="C10" s="6" t="n">
        <v>1</v>
      </c>
      <c r="D10" s="7" t="n">
        <v>2.2</v>
      </c>
      <c r="E10" s="8" t="n">
        <f aca="false">C10*D10</f>
        <v>2.2</v>
      </c>
      <c r="F10" s="9"/>
    </row>
    <row r="11" customFormat="false" ht="15" hidden="false" customHeight="true" outlineLevel="0" collapsed="false">
      <c r="A11" s="5" t="s">
        <v>24</v>
      </c>
      <c r="B11" s="5" t="s">
        <v>25</v>
      </c>
      <c r="C11" s="6" t="n">
        <v>2</v>
      </c>
      <c r="D11" s="7" t="n">
        <v>7.1</v>
      </c>
      <c r="E11" s="8" t="n">
        <f aca="false">C11*D11</f>
        <v>14.2</v>
      </c>
      <c r="F11" s="9"/>
    </row>
    <row r="12" customFormat="false" ht="15" hidden="false" customHeight="true" outlineLevel="0" collapsed="false">
      <c r="A12" s="5" t="s">
        <v>26</v>
      </c>
      <c r="B12" s="5" t="s">
        <v>27</v>
      </c>
      <c r="C12" s="6" t="n">
        <v>2</v>
      </c>
      <c r="D12" s="7" t="n">
        <v>1.8</v>
      </c>
      <c r="E12" s="8" t="n">
        <f aca="false">C12*D12</f>
        <v>3.6</v>
      </c>
      <c r="F12" s="9"/>
    </row>
    <row r="13" customFormat="false" ht="15" hidden="false" customHeight="true" outlineLevel="0" collapsed="false">
      <c r="A13" s="5" t="s">
        <v>28</v>
      </c>
      <c r="B13" s="5" t="s">
        <v>29</v>
      </c>
      <c r="C13" s="6" t="n">
        <v>1</v>
      </c>
      <c r="D13" s="7" t="n">
        <v>4.5</v>
      </c>
      <c r="E13" s="8" t="n">
        <f aca="false">C13*D13</f>
        <v>4.5</v>
      </c>
      <c r="F13" s="9" t="s">
        <v>30</v>
      </c>
    </row>
    <row r="14" customFormat="false" ht="15" hidden="false" customHeight="true" outlineLevel="0" collapsed="false">
      <c r="A14" s="5" t="s">
        <v>31</v>
      </c>
      <c r="B14" s="5" t="s">
        <v>32</v>
      </c>
      <c r="C14" s="6" t="n">
        <v>4</v>
      </c>
      <c r="D14" s="7" t="n">
        <v>0.7</v>
      </c>
      <c r="E14" s="8" t="n">
        <f aca="false">C14*D14</f>
        <v>2.8</v>
      </c>
      <c r="F14" s="9"/>
    </row>
    <row r="15" customFormat="false" ht="15" hidden="false" customHeight="true" outlineLevel="0" collapsed="false">
      <c r="A15" s="5" t="s">
        <v>33</v>
      </c>
      <c r="B15" s="5" t="s">
        <v>34</v>
      </c>
      <c r="C15" s="6" t="n">
        <v>7</v>
      </c>
      <c r="D15" s="7" t="n">
        <v>0.1</v>
      </c>
      <c r="E15" s="8" t="n">
        <f aca="false">C15*D15</f>
        <v>0.7</v>
      </c>
      <c r="F15" s="9"/>
    </row>
    <row r="16" customFormat="false" ht="15" hidden="false" customHeight="true" outlineLevel="0" collapsed="false">
      <c r="A16" s="5" t="s">
        <v>35</v>
      </c>
      <c r="B16" s="5" t="s">
        <v>36</v>
      </c>
      <c r="C16" s="6" t="n">
        <v>1</v>
      </c>
      <c r="D16" s="7" t="n">
        <v>0.11</v>
      </c>
      <c r="E16" s="8" t="n">
        <f aca="false">C16*D16</f>
        <v>0.11</v>
      </c>
      <c r="F16" s="9" t="s">
        <v>37</v>
      </c>
    </row>
    <row r="17" customFormat="false" ht="15" hidden="false" customHeight="true" outlineLevel="0" collapsed="false">
      <c r="A17" s="5" t="s">
        <v>38</v>
      </c>
      <c r="B17" s="5" t="s">
        <v>39</v>
      </c>
      <c r="C17" s="6" t="n">
        <v>1</v>
      </c>
      <c r="D17" s="7" t="n">
        <v>0.05</v>
      </c>
      <c r="E17" s="8" t="n">
        <f aca="false">C17*D17</f>
        <v>0.05</v>
      </c>
      <c r="F17" s="9" t="s">
        <v>40</v>
      </c>
    </row>
    <row r="18" customFormat="false" ht="15" hidden="false" customHeight="true" outlineLevel="0" collapsed="false">
      <c r="A18" s="5" t="s">
        <v>41</v>
      </c>
      <c r="B18" s="5" t="s">
        <v>42</v>
      </c>
      <c r="C18" s="6" t="n">
        <v>4</v>
      </c>
      <c r="D18" s="7" t="n">
        <v>0.12</v>
      </c>
      <c r="E18" s="8" t="n">
        <f aca="false">C18*D18</f>
        <v>0.48</v>
      </c>
      <c r="F18" s="9"/>
    </row>
    <row r="19" customFormat="false" ht="15" hidden="false" customHeight="true" outlineLevel="0" collapsed="false">
      <c r="A19" s="5" t="s">
        <v>43</v>
      </c>
      <c r="B19" s="5" t="s">
        <v>44</v>
      </c>
      <c r="C19" s="6" t="n">
        <v>3</v>
      </c>
      <c r="D19" s="7" t="n">
        <v>0.1</v>
      </c>
      <c r="E19" s="8" t="n">
        <f aca="false">C19*D19</f>
        <v>0.3</v>
      </c>
      <c r="F19" s="9"/>
    </row>
    <row r="20" customFormat="false" ht="15" hidden="false" customHeight="true" outlineLevel="0" collapsed="false">
      <c r="A20" s="5" t="s">
        <v>45</v>
      </c>
      <c r="B20" s="5" t="s">
        <v>46</v>
      </c>
      <c r="C20" s="6" t="n">
        <v>4</v>
      </c>
      <c r="D20" s="7" t="n">
        <v>0.2</v>
      </c>
      <c r="E20" s="8" t="n">
        <f aca="false">C20*D20</f>
        <v>0.8</v>
      </c>
      <c r="F20" s="9"/>
    </row>
    <row r="21" customFormat="false" ht="15" hidden="false" customHeight="true" outlineLevel="0" collapsed="false">
      <c r="A21" s="5" t="s">
        <v>47</v>
      </c>
      <c r="B21" s="5" t="s">
        <v>48</v>
      </c>
      <c r="C21" s="6" t="n">
        <v>1</v>
      </c>
      <c r="D21" s="7" t="n">
        <v>9</v>
      </c>
      <c r="E21" s="8" t="n">
        <f aca="false">C21*D21</f>
        <v>9</v>
      </c>
      <c r="F21" s="9"/>
    </row>
    <row r="22" customFormat="false" ht="15" hidden="false" customHeight="true" outlineLevel="0" collapsed="false">
      <c r="A22" s="5" t="s">
        <v>49</v>
      </c>
      <c r="B22" s="5" t="s">
        <v>50</v>
      </c>
      <c r="C22" s="6" t="n">
        <v>1</v>
      </c>
      <c r="D22" s="7" t="n">
        <v>0.6</v>
      </c>
      <c r="E22" s="8" t="n">
        <f aca="false">C22*D22</f>
        <v>0.6</v>
      </c>
      <c r="F22" s="9"/>
    </row>
    <row r="23" customFormat="false" ht="15" hidden="false" customHeight="true" outlineLevel="0" collapsed="false">
      <c r="A23" s="5" t="s">
        <v>51</v>
      </c>
      <c r="B23" s="5" t="s">
        <v>52</v>
      </c>
      <c r="C23" s="6" t="n">
        <v>1</v>
      </c>
      <c r="D23" s="7" t="n">
        <v>0.4</v>
      </c>
      <c r="E23" s="8" t="n">
        <f aca="false">C23*D23</f>
        <v>0.4</v>
      </c>
      <c r="F23" s="9"/>
    </row>
    <row r="24" customFormat="false" ht="15" hidden="false" customHeight="true" outlineLevel="0" collapsed="false">
      <c r="A24" s="5" t="s">
        <v>53</v>
      </c>
      <c r="B24" s="5" t="s">
        <v>54</v>
      </c>
      <c r="C24" s="6" t="n">
        <v>2</v>
      </c>
      <c r="D24" s="7" t="n">
        <v>0.3</v>
      </c>
      <c r="E24" s="8" t="n">
        <f aca="false">C24*D24</f>
        <v>0.6</v>
      </c>
      <c r="F24" s="9"/>
    </row>
    <row r="25" customFormat="false" ht="15" hidden="false" customHeight="true" outlineLevel="0" collapsed="false">
      <c r="A25" s="5" t="s">
        <v>55</v>
      </c>
      <c r="B25" s="5" t="s">
        <v>54</v>
      </c>
      <c r="C25" s="6" t="n">
        <v>1</v>
      </c>
      <c r="D25" s="7" t="n">
        <v>0.35</v>
      </c>
      <c r="E25" s="8" t="n">
        <f aca="false">C25*D25</f>
        <v>0.35</v>
      </c>
      <c r="F25" s="9" t="s">
        <v>40</v>
      </c>
    </row>
    <row r="26" customFormat="false" ht="15" hidden="false" customHeight="true" outlineLevel="0" collapsed="false">
      <c r="A26" s="5" t="s">
        <v>56</v>
      </c>
      <c r="B26" s="5" t="s">
        <v>57</v>
      </c>
      <c r="C26" s="6" t="n">
        <v>3</v>
      </c>
      <c r="D26" s="7" t="n">
        <v>0.22</v>
      </c>
      <c r="E26" s="8" t="n">
        <f aca="false">C26*D26</f>
        <v>0.66</v>
      </c>
      <c r="F26" s="9"/>
    </row>
    <row r="27" customFormat="false" ht="15" hidden="false" customHeight="true" outlineLevel="0" collapsed="false">
      <c r="A27" s="5" t="s">
        <v>58</v>
      </c>
      <c r="B27" s="5" t="s">
        <v>59</v>
      </c>
      <c r="C27" s="6" t="n">
        <v>1</v>
      </c>
      <c r="D27" s="7" t="n">
        <v>5</v>
      </c>
      <c r="E27" s="8" t="n">
        <f aca="false">C27*D27</f>
        <v>5</v>
      </c>
      <c r="F27" s="9"/>
    </row>
    <row r="28" customFormat="false" ht="15" hidden="false" customHeight="true" outlineLevel="0" collapsed="false">
      <c r="A28" s="5" t="s">
        <v>60</v>
      </c>
      <c r="B28" s="5" t="s">
        <v>59</v>
      </c>
      <c r="C28" s="6" t="n">
        <v>1</v>
      </c>
      <c r="D28" s="7" t="n">
        <v>4</v>
      </c>
      <c r="E28" s="8" t="n">
        <f aca="false">C28*D28</f>
        <v>4</v>
      </c>
      <c r="F28" s="9"/>
    </row>
    <row r="29" customFormat="false" ht="15" hidden="false" customHeight="true" outlineLevel="0" collapsed="false">
      <c r="A29" s="5" t="s">
        <v>61</v>
      </c>
      <c r="B29" s="5" t="s">
        <v>62</v>
      </c>
      <c r="C29" s="6" t="n">
        <v>1</v>
      </c>
      <c r="D29" s="7" t="n">
        <v>30</v>
      </c>
      <c r="E29" s="8" t="n">
        <f aca="false">C29*D29</f>
        <v>30</v>
      </c>
      <c r="F29" s="9" t="s">
        <v>63</v>
      </c>
    </row>
    <row r="30" customFormat="false" ht="15" hidden="false" customHeight="true" outlineLevel="0" collapsed="false">
      <c r="A30" s="10" t="s">
        <v>64</v>
      </c>
      <c r="B30" s="11"/>
      <c r="C30" s="11"/>
      <c r="D30" s="11"/>
      <c r="E30" s="12" t="n">
        <f aca="false">SUM(E3:E29)</f>
        <v>103.7</v>
      </c>
      <c r="F30" s="11"/>
    </row>
    <row r="31" customFormat="false" ht="15" hidden="false" customHeight="true" outlineLevel="0" collapsed="false"/>
    <row r="32" customFormat="false" ht="15" hidden="false" customHeight="true" outlineLevel="0" collapsed="false">
      <c r="A32" s="3" t="s">
        <v>65</v>
      </c>
      <c r="B32" s="4"/>
      <c r="C32" s="4"/>
      <c r="D32" s="4"/>
      <c r="E32" s="4"/>
      <c r="F32" s="4"/>
    </row>
    <row r="33" customFormat="false" ht="15" hidden="false" customHeight="true" outlineLevel="0" collapsed="false">
      <c r="A33" s="5" t="s">
        <v>66</v>
      </c>
      <c r="B33" s="5" t="s">
        <v>67</v>
      </c>
      <c r="C33" s="6" t="n">
        <v>1</v>
      </c>
      <c r="D33" s="7" t="n">
        <v>34.95</v>
      </c>
      <c r="E33" s="8" t="n">
        <f aca="false">C33*D33</f>
        <v>34.95</v>
      </c>
      <c r="F33" s="9" t="s">
        <v>68</v>
      </c>
    </row>
    <row r="34" customFormat="false" ht="15" hidden="false" customHeight="true" outlineLevel="0" collapsed="false">
      <c r="A34" s="5" t="s">
        <v>69</v>
      </c>
      <c r="B34" s="5" t="s">
        <v>70</v>
      </c>
      <c r="C34" s="6" t="n">
        <v>1</v>
      </c>
      <c r="D34" s="7" t="n">
        <v>8</v>
      </c>
      <c r="E34" s="8" t="n">
        <f aca="false">C34*D34</f>
        <v>8</v>
      </c>
      <c r="F34" s="13" t="s">
        <v>71</v>
      </c>
    </row>
    <row r="35" customFormat="false" ht="15" hidden="false" customHeight="true" outlineLevel="0" collapsed="false">
      <c r="A35" s="5" t="s">
        <v>72</v>
      </c>
      <c r="B35" s="5" t="s">
        <v>73</v>
      </c>
      <c r="C35" s="6" t="n">
        <v>1</v>
      </c>
      <c r="D35" s="7" t="n">
        <v>1.5</v>
      </c>
      <c r="E35" s="8" t="n">
        <f aca="false">C35*D35</f>
        <v>1.5</v>
      </c>
      <c r="F35" s="9"/>
    </row>
    <row r="36" customFormat="false" ht="15" hidden="false" customHeight="true" outlineLevel="0" collapsed="false">
      <c r="A36" s="10" t="s">
        <v>74</v>
      </c>
      <c r="B36" s="11"/>
      <c r="C36" s="11"/>
      <c r="D36" s="11"/>
      <c r="E36" s="12" t="n">
        <f aca="false">SUM(E33:E35)</f>
        <v>44.45</v>
      </c>
      <c r="F36" s="11"/>
    </row>
    <row r="37" customFormat="false" ht="15" hidden="false" customHeight="true" outlineLevel="0" collapsed="false"/>
    <row r="38" customFormat="false" ht="15" hidden="false" customHeight="true" outlineLevel="0" collapsed="false">
      <c r="A38" s="3" t="s">
        <v>75</v>
      </c>
      <c r="B38" s="4"/>
      <c r="C38" s="4"/>
      <c r="D38" s="4"/>
      <c r="E38" s="4"/>
      <c r="F38" s="4"/>
    </row>
    <row r="39" customFormat="false" ht="15" hidden="false" customHeight="true" outlineLevel="0" collapsed="false">
      <c r="A39" s="5" t="s">
        <v>76</v>
      </c>
      <c r="B39" s="5" t="s">
        <v>77</v>
      </c>
      <c r="C39" s="6" t="n">
        <v>3</v>
      </c>
      <c r="D39" s="7" t="n">
        <v>9.99</v>
      </c>
      <c r="E39" s="8" t="n">
        <f aca="false">C39*D39</f>
        <v>29.97</v>
      </c>
      <c r="F39" s="9" t="s">
        <v>78</v>
      </c>
    </row>
    <row r="40" customFormat="false" ht="15" hidden="false" customHeight="true" outlineLevel="0" collapsed="false">
      <c r="A40" s="5" t="s">
        <v>79</v>
      </c>
      <c r="B40" s="5" t="s">
        <v>80</v>
      </c>
      <c r="C40" s="6" t="n">
        <v>1</v>
      </c>
      <c r="D40" s="7" t="n">
        <v>24.99</v>
      </c>
      <c r="E40" s="8" t="n">
        <f aca="false">C40*D40</f>
        <v>24.99</v>
      </c>
      <c r="F40" s="9" t="s">
        <v>81</v>
      </c>
    </row>
    <row r="41" customFormat="false" ht="15" hidden="false" customHeight="true" outlineLevel="0" collapsed="false">
      <c r="A41" s="10" t="s">
        <v>82</v>
      </c>
      <c r="B41" s="11"/>
      <c r="C41" s="11"/>
      <c r="D41" s="11"/>
      <c r="E41" s="12" t="n">
        <f aca="false">SUM(E39:E40)</f>
        <v>54.96</v>
      </c>
      <c r="F41" s="11"/>
    </row>
    <row r="42" customFormat="false" ht="15" hidden="false" customHeight="true" outlineLevel="0" collapsed="false"/>
    <row r="43" customFormat="false" ht="15" hidden="false" customHeight="true" outlineLevel="0" collapsed="false">
      <c r="A43" s="3" t="s">
        <v>83</v>
      </c>
      <c r="B43" s="4"/>
      <c r="C43" s="4"/>
      <c r="D43" s="4"/>
      <c r="E43" s="4"/>
      <c r="F43" s="4"/>
    </row>
    <row r="44" customFormat="false" ht="15" hidden="false" customHeight="true" outlineLevel="0" collapsed="false">
      <c r="A44" s="5" t="s">
        <v>84</v>
      </c>
      <c r="B44" s="5" t="s">
        <v>85</v>
      </c>
      <c r="C44" s="6" t="n">
        <v>1</v>
      </c>
      <c r="D44" s="7" t="n">
        <v>31.19</v>
      </c>
      <c r="E44" s="8" t="n">
        <f aca="false">C44*D44</f>
        <v>31.19</v>
      </c>
      <c r="F44" s="9" t="s">
        <v>86</v>
      </c>
    </row>
    <row r="45" customFormat="false" ht="15" hidden="false" customHeight="true" outlineLevel="0" collapsed="false">
      <c r="A45" s="5" t="s">
        <v>87</v>
      </c>
      <c r="B45" s="5" t="s">
        <v>85</v>
      </c>
      <c r="C45" s="6" t="n">
        <v>1</v>
      </c>
      <c r="D45" s="7" t="n">
        <v>27</v>
      </c>
      <c r="E45" s="8" t="n">
        <f aca="false">C45*D45</f>
        <v>27</v>
      </c>
      <c r="F45" s="9" t="s">
        <v>86</v>
      </c>
    </row>
    <row r="46" customFormat="false" ht="15" hidden="false" customHeight="true" outlineLevel="0" collapsed="false">
      <c r="A46" s="5" t="s">
        <v>88</v>
      </c>
      <c r="B46" s="5" t="s">
        <v>89</v>
      </c>
      <c r="C46" s="6" t="n">
        <v>1</v>
      </c>
      <c r="D46" s="7" t="n">
        <v>9.99</v>
      </c>
      <c r="E46" s="8" t="n">
        <f aca="false">C46*D46</f>
        <v>9.99</v>
      </c>
      <c r="F46" s="9"/>
    </row>
    <row r="47" customFormat="false" ht="15" hidden="false" customHeight="true" outlineLevel="0" collapsed="false">
      <c r="A47" s="5" t="s">
        <v>90</v>
      </c>
      <c r="B47" s="5" t="s">
        <v>91</v>
      </c>
      <c r="C47" s="6" t="n">
        <v>2</v>
      </c>
      <c r="D47" s="7" t="n">
        <v>3.5</v>
      </c>
      <c r="E47" s="8" t="n">
        <f aca="false">C47*D47</f>
        <v>7</v>
      </c>
      <c r="F47" s="9"/>
    </row>
    <row r="48" customFormat="false" ht="15" hidden="false" customHeight="true" outlineLevel="0" collapsed="false">
      <c r="A48" s="5" t="s">
        <v>92</v>
      </c>
      <c r="B48" s="5" t="s">
        <v>93</v>
      </c>
      <c r="C48" s="6" t="n">
        <v>1</v>
      </c>
      <c r="D48" s="7" t="n">
        <v>7.95</v>
      </c>
      <c r="E48" s="8" t="n">
        <f aca="false">C48*D48</f>
        <v>7.95</v>
      </c>
      <c r="F48" s="9"/>
    </row>
    <row r="49" customFormat="false" ht="15" hidden="false" customHeight="true" outlineLevel="0" collapsed="false">
      <c r="A49" s="5" t="s">
        <v>94</v>
      </c>
      <c r="B49" s="5" t="s">
        <v>95</v>
      </c>
      <c r="C49" s="6" t="n">
        <v>1</v>
      </c>
      <c r="D49" s="7" t="n">
        <v>1</v>
      </c>
      <c r="E49" s="8" t="n">
        <f aca="false">C49*D49</f>
        <v>1</v>
      </c>
      <c r="F49" s="9"/>
    </row>
    <row r="50" customFormat="false" ht="15" hidden="false" customHeight="true" outlineLevel="0" collapsed="false">
      <c r="A50" s="10" t="s">
        <v>96</v>
      </c>
      <c r="B50" s="11"/>
      <c r="C50" s="11"/>
      <c r="D50" s="11"/>
      <c r="E50" s="12" t="n">
        <f aca="false">SUM(E44:E49)</f>
        <v>84.13</v>
      </c>
      <c r="F50" s="11"/>
    </row>
    <row r="51" customFormat="false" ht="15" hidden="false" customHeight="true" outlineLevel="0" collapsed="false"/>
    <row r="52" customFormat="false" ht="15" hidden="false" customHeight="true" outlineLevel="0" collapsed="false">
      <c r="A52" s="3" t="s">
        <v>97</v>
      </c>
      <c r="B52" s="4"/>
      <c r="C52" s="4"/>
      <c r="D52" s="4"/>
      <c r="E52" s="4"/>
      <c r="F52" s="4"/>
    </row>
    <row r="53" customFormat="false" ht="15" hidden="false" customHeight="true" outlineLevel="0" collapsed="false">
      <c r="A53" s="5" t="s">
        <v>98</v>
      </c>
      <c r="B53" s="5" t="s">
        <v>93</v>
      </c>
      <c r="C53" s="6" t="n">
        <v>1</v>
      </c>
      <c r="D53" s="7" t="n">
        <v>12.95</v>
      </c>
      <c r="E53" s="8" t="n">
        <f aca="false">C53*D53</f>
        <v>12.95</v>
      </c>
      <c r="F53" s="9"/>
    </row>
    <row r="54" customFormat="false" ht="15" hidden="false" customHeight="true" outlineLevel="0" collapsed="false">
      <c r="A54" s="5" t="s">
        <v>99</v>
      </c>
      <c r="B54" s="5" t="s">
        <v>93</v>
      </c>
      <c r="C54" s="6" t="n">
        <v>1</v>
      </c>
      <c r="D54" s="7" t="n">
        <v>16.95</v>
      </c>
      <c r="E54" s="8" t="n">
        <f aca="false">C54*D54</f>
        <v>16.95</v>
      </c>
      <c r="F54" s="9"/>
    </row>
    <row r="55" customFormat="false" ht="15" hidden="false" customHeight="true" outlineLevel="0" collapsed="false">
      <c r="A55" s="5" t="s">
        <v>100</v>
      </c>
      <c r="B55" s="5" t="s">
        <v>101</v>
      </c>
      <c r="C55" s="6" t="n">
        <v>6</v>
      </c>
      <c r="D55" s="7" t="n">
        <v>1.5</v>
      </c>
      <c r="E55" s="8" t="n">
        <f aca="false">C55*D55</f>
        <v>9</v>
      </c>
      <c r="F55" s="9" t="s">
        <v>102</v>
      </c>
    </row>
    <row r="56" customFormat="false" ht="15" hidden="false" customHeight="true" outlineLevel="0" collapsed="false">
      <c r="A56" s="10" t="s">
        <v>103</v>
      </c>
      <c r="B56" s="11"/>
      <c r="C56" s="11"/>
      <c r="D56" s="11"/>
      <c r="E56" s="12" t="n">
        <f aca="false">SUM(E53:E55)</f>
        <v>38.9</v>
      </c>
      <c r="F56" s="11"/>
    </row>
    <row r="57" customFormat="false" ht="15" hidden="false" customHeight="true" outlineLevel="0" collapsed="false"/>
    <row r="58" customFormat="false" ht="15" hidden="false" customHeight="true" outlineLevel="0" collapsed="false">
      <c r="A58" s="3" t="s">
        <v>104</v>
      </c>
      <c r="B58" s="4"/>
      <c r="C58" s="4"/>
      <c r="D58" s="4"/>
      <c r="E58" s="4"/>
      <c r="F58" s="4"/>
    </row>
    <row r="59" customFormat="false" ht="15" hidden="false" customHeight="true" outlineLevel="0" collapsed="false">
      <c r="A59" s="5" t="s">
        <v>105</v>
      </c>
      <c r="B59" s="5" t="s">
        <v>106</v>
      </c>
      <c r="C59" s="6" t="n">
        <v>0.45</v>
      </c>
      <c r="D59" s="7" t="n">
        <v>25.99</v>
      </c>
      <c r="E59" s="8" t="n">
        <f aca="false">C59*D59</f>
        <v>11.6955</v>
      </c>
      <c r="F59" s="9" t="s">
        <v>107</v>
      </c>
    </row>
    <row r="60" customFormat="false" ht="15" hidden="false" customHeight="true" outlineLevel="0" collapsed="false">
      <c r="A60" s="5" t="s">
        <v>108</v>
      </c>
      <c r="B60" s="5" t="s">
        <v>106</v>
      </c>
      <c r="C60" s="6" t="n">
        <v>0.06</v>
      </c>
      <c r="D60" s="7" t="n">
        <v>19.99</v>
      </c>
      <c r="E60" s="8" t="n">
        <f aca="false">C60*D60</f>
        <v>1.1994</v>
      </c>
      <c r="F60" s="9" t="s">
        <v>107</v>
      </c>
    </row>
    <row r="61" customFormat="false" ht="15" hidden="false" customHeight="true" outlineLevel="0" collapsed="false">
      <c r="A61" s="5" t="s">
        <v>109</v>
      </c>
      <c r="B61" s="5" t="s">
        <v>106</v>
      </c>
      <c r="C61" s="6" t="n">
        <v>0.08</v>
      </c>
      <c r="D61" s="7" t="n">
        <v>45.99</v>
      </c>
      <c r="E61" s="8" t="n">
        <f aca="false">C61*D61</f>
        <v>3.6792</v>
      </c>
      <c r="F61" s="9" t="s">
        <v>107</v>
      </c>
    </row>
    <row r="62" customFormat="false" ht="15" hidden="false" customHeight="true" outlineLevel="0" collapsed="false">
      <c r="A62" s="5" t="s">
        <v>110</v>
      </c>
      <c r="B62" s="5" t="s">
        <v>106</v>
      </c>
      <c r="C62" s="6" t="n">
        <v>0.07</v>
      </c>
      <c r="D62" s="7" t="n">
        <v>43.99</v>
      </c>
      <c r="E62" s="8" t="n">
        <f aca="false">C62*D62</f>
        <v>3.0793</v>
      </c>
      <c r="F62" s="9" t="s">
        <v>111</v>
      </c>
    </row>
    <row r="63" customFormat="false" ht="15" hidden="false" customHeight="true" outlineLevel="0" collapsed="false">
      <c r="A63" s="5" t="s">
        <v>112</v>
      </c>
      <c r="B63" s="5" t="s">
        <v>106</v>
      </c>
      <c r="C63" s="6" t="n">
        <v>0.25</v>
      </c>
      <c r="D63" s="7" t="n">
        <v>43.99</v>
      </c>
      <c r="E63" s="8" t="n">
        <f aca="false">C63*D63</f>
        <v>10.9975</v>
      </c>
      <c r="F63" s="9" t="s">
        <v>107</v>
      </c>
    </row>
    <row r="64" customFormat="false" ht="15" hidden="false" customHeight="true" outlineLevel="0" collapsed="false">
      <c r="A64" s="10" t="s">
        <v>113</v>
      </c>
      <c r="B64" s="11"/>
      <c r="C64" s="11"/>
      <c r="D64" s="11"/>
      <c r="E64" s="12" t="n">
        <f aca="false">SUM(E59:E63)</f>
        <v>30.6509</v>
      </c>
      <c r="F64" s="11"/>
    </row>
    <row r="65" customFormat="false" ht="15" hidden="false" customHeight="true" outlineLevel="0" collapsed="false"/>
    <row r="66" customFormat="false" ht="15" hidden="false" customHeight="true" outlineLevel="0" collapsed="false">
      <c r="A66" s="3" t="s">
        <v>114</v>
      </c>
      <c r="B66" s="4"/>
      <c r="C66" s="4"/>
      <c r="D66" s="4"/>
      <c r="E66" s="4"/>
      <c r="F66" s="4"/>
    </row>
    <row r="67" customFormat="false" ht="15" hidden="false" customHeight="true" outlineLevel="0" collapsed="false">
      <c r="A67" s="5" t="s">
        <v>115</v>
      </c>
      <c r="B67" s="5" t="s">
        <v>116</v>
      </c>
      <c r="C67" s="6" t="n">
        <v>1</v>
      </c>
      <c r="D67" s="7" t="n">
        <v>43.99</v>
      </c>
      <c r="E67" s="8" t="n">
        <f aca="false">C67*D67</f>
        <v>43.99</v>
      </c>
      <c r="F67" s="9"/>
    </row>
    <row r="68" customFormat="false" ht="15" hidden="false" customHeight="true" outlineLevel="0" collapsed="false">
      <c r="A68" s="5" t="s">
        <v>117</v>
      </c>
      <c r="B68" s="5" t="s">
        <v>116</v>
      </c>
      <c r="C68" s="6" t="n">
        <v>1</v>
      </c>
      <c r="D68" s="7" t="n">
        <v>179.99</v>
      </c>
      <c r="E68" s="8" t="n">
        <f aca="false">C68*D68</f>
        <v>179.99</v>
      </c>
      <c r="F68" s="14" t="s">
        <v>118</v>
      </c>
    </row>
    <row r="69" customFormat="false" ht="15" hidden="false" customHeight="true" outlineLevel="0" collapsed="false">
      <c r="A69" s="5" t="s">
        <v>119</v>
      </c>
      <c r="B69" s="5" t="s">
        <v>120</v>
      </c>
      <c r="C69" s="6" t="n">
        <v>1</v>
      </c>
      <c r="D69" s="7" t="n">
        <v>11.99</v>
      </c>
      <c r="E69" s="8" t="n">
        <f aca="false">C69*D69</f>
        <v>11.99</v>
      </c>
      <c r="F69" s="9" t="s">
        <v>121</v>
      </c>
    </row>
    <row r="70" customFormat="false" ht="15" hidden="false" customHeight="true" outlineLevel="0" collapsed="false">
      <c r="A70" s="5" t="s">
        <v>122</v>
      </c>
      <c r="B70" s="5" t="s">
        <v>123</v>
      </c>
      <c r="C70" s="6" t="n">
        <v>1</v>
      </c>
      <c r="D70" s="7" t="n">
        <v>27.5</v>
      </c>
      <c r="E70" s="8" t="n">
        <f aca="false">C70*D70</f>
        <v>27.5</v>
      </c>
      <c r="F70" s="9"/>
    </row>
    <row r="71" customFormat="false" ht="15" hidden="false" customHeight="true" outlineLevel="0" collapsed="false">
      <c r="A71" s="5" t="s">
        <v>124</v>
      </c>
      <c r="B71" s="5" t="s">
        <v>125</v>
      </c>
      <c r="C71" s="6" t="n">
        <v>1</v>
      </c>
      <c r="D71" s="7" t="n">
        <v>7.5</v>
      </c>
      <c r="E71" s="8" t="n">
        <f aca="false">C71*D71</f>
        <v>7.5</v>
      </c>
      <c r="F71" s="9"/>
    </row>
    <row r="72" customFormat="false" ht="15" hidden="false" customHeight="true" outlineLevel="0" collapsed="false">
      <c r="A72" s="5" t="s">
        <v>126</v>
      </c>
      <c r="B72" s="5" t="s">
        <v>127</v>
      </c>
      <c r="C72" s="6" t="n">
        <v>800</v>
      </c>
      <c r="D72" s="7" t="n">
        <v>0.02</v>
      </c>
      <c r="E72" s="8" t="n">
        <f aca="false">C72*D72</f>
        <v>16</v>
      </c>
      <c r="F72" s="9" t="s">
        <v>128</v>
      </c>
    </row>
    <row r="73" customFormat="false" ht="15" hidden="false" customHeight="true" outlineLevel="0" collapsed="false">
      <c r="A73" s="10" t="s">
        <v>129</v>
      </c>
      <c r="B73" s="11"/>
      <c r="C73" s="11"/>
      <c r="D73" s="11"/>
      <c r="E73" s="12" t="n">
        <f aca="false">SUM(E67:E72)</f>
        <v>286.97</v>
      </c>
      <c r="F73" s="11"/>
    </row>
    <row r="74" customFormat="false" ht="15" hidden="false" customHeight="true" outlineLevel="0" collapsed="false"/>
    <row r="75" customFormat="false" ht="15" hidden="false" customHeight="true" outlineLevel="0" collapsed="false">
      <c r="A75" s="15" t="s">
        <v>130</v>
      </c>
      <c r="B75" s="16"/>
      <c r="C75" s="16"/>
      <c r="D75" s="16"/>
      <c r="E75" s="17" t="n">
        <f aca="false">E30+E36+E41+E50+E56+E64+E73</f>
        <v>643.7609</v>
      </c>
      <c r="F75" s="16"/>
    </row>
    <row r="76" customFormat="false" ht="15" hidden="false" customHeight="true" outlineLevel="0" collapsed="false"/>
    <row r="77" customFormat="false" ht="15" hidden="false" customHeight="true" outlineLevel="0" collapsed="false">
      <c r="A77" s="18" t="s">
        <v>131</v>
      </c>
      <c r="B77" s="19"/>
      <c r="C77" s="19"/>
      <c r="D77" s="19"/>
      <c r="E77" s="20" t="n">
        <f aca="false">'Procurement Log'!F29</f>
        <v>1972.55</v>
      </c>
      <c r="F77" s="19"/>
    </row>
    <row r="79" customFormat="false" ht="15" hidden="false" customHeight="true" outlineLevel="0" collapsed="false">
      <c r="A79" s="2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8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15" hidden="false" customHeight="true" outlineLevel="0" collapsed="false">
      <c r="A1" s="2" t="s">
        <v>133</v>
      </c>
      <c r="B1" s="2" t="s">
        <v>134</v>
      </c>
      <c r="C1" s="2" t="s">
        <v>2</v>
      </c>
      <c r="D1" s="2" t="s">
        <v>135</v>
      </c>
      <c r="E1" s="2" t="s">
        <v>136</v>
      </c>
      <c r="F1" s="2" t="s">
        <v>137</v>
      </c>
    </row>
    <row r="2" customFormat="false" ht="15" hidden="false" customHeight="true" outlineLevel="0" collapsed="false">
      <c r="A2" s="22" t="s">
        <v>138</v>
      </c>
      <c r="B2" s="22" t="s">
        <v>139</v>
      </c>
      <c r="C2" s="23" t="n">
        <v>2</v>
      </c>
      <c r="D2" s="24" t="n">
        <v>25.99</v>
      </c>
      <c r="E2" s="22" t="s">
        <v>140</v>
      </c>
      <c r="F2" s="25" t="n">
        <f aca="false">C2*D2</f>
        <v>51.98</v>
      </c>
    </row>
    <row r="3" customFormat="false" ht="15" hidden="false" customHeight="true" outlineLevel="0" collapsed="false">
      <c r="A3" s="22" t="s">
        <v>138</v>
      </c>
      <c r="B3" s="22" t="s">
        <v>141</v>
      </c>
      <c r="C3" s="23" t="n">
        <v>3</v>
      </c>
      <c r="D3" s="24" t="n">
        <v>19.99</v>
      </c>
      <c r="E3" s="22" t="s">
        <v>140</v>
      </c>
      <c r="F3" s="25" t="n">
        <f aca="false">C3*D3</f>
        <v>59.97</v>
      </c>
    </row>
    <row r="4" customFormat="false" ht="15" hidden="false" customHeight="true" outlineLevel="0" collapsed="false">
      <c r="A4" s="22" t="s">
        <v>138</v>
      </c>
      <c r="B4" s="22" t="s">
        <v>142</v>
      </c>
      <c r="C4" s="23" t="n">
        <v>3</v>
      </c>
      <c r="D4" s="24" t="n">
        <v>45.99</v>
      </c>
      <c r="E4" s="22" t="s">
        <v>143</v>
      </c>
      <c r="F4" s="25" t="n">
        <f aca="false">C4*D4</f>
        <v>137.97</v>
      </c>
    </row>
    <row r="5" customFormat="false" ht="15" hidden="false" customHeight="true" outlineLevel="0" collapsed="false">
      <c r="A5" s="22" t="s">
        <v>138</v>
      </c>
      <c r="B5" s="22" t="s">
        <v>144</v>
      </c>
      <c r="C5" s="23" t="n">
        <v>4</v>
      </c>
      <c r="D5" s="24" t="n">
        <v>43.99</v>
      </c>
      <c r="E5" s="22" t="s">
        <v>143</v>
      </c>
      <c r="F5" s="25" t="n">
        <f aca="false">C5*D5</f>
        <v>175.96</v>
      </c>
    </row>
    <row r="6" customFormat="false" ht="15" hidden="false" customHeight="true" outlineLevel="0" collapsed="false">
      <c r="A6" s="22" t="s">
        <v>145</v>
      </c>
      <c r="B6" s="22" t="s">
        <v>146</v>
      </c>
      <c r="C6" s="23" t="n">
        <v>1</v>
      </c>
      <c r="D6" s="24" t="n">
        <v>43.99</v>
      </c>
      <c r="E6" s="22" t="s">
        <v>147</v>
      </c>
      <c r="F6" s="25" t="n">
        <f aca="false">C6*D6</f>
        <v>43.99</v>
      </c>
    </row>
    <row r="7" customFormat="false" ht="23.25" hidden="false" customHeight="true" outlineLevel="0" collapsed="false">
      <c r="A7" s="22" t="s">
        <v>145</v>
      </c>
      <c r="B7" s="26" t="s">
        <v>148</v>
      </c>
      <c r="C7" s="23" t="n">
        <v>1</v>
      </c>
      <c r="D7" s="24" t="n">
        <v>179.99</v>
      </c>
      <c r="E7" s="22" t="s">
        <v>147</v>
      </c>
      <c r="F7" s="25" t="n">
        <f aca="false">C7*D7</f>
        <v>179.99</v>
      </c>
    </row>
    <row r="8" customFormat="false" ht="15" hidden="false" customHeight="true" outlineLevel="0" collapsed="false">
      <c r="A8" s="22" t="s">
        <v>145</v>
      </c>
      <c r="B8" s="22" t="s">
        <v>149</v>
      </c>
      <c r="C8" s="23" t="n">
        <v>3</v>
      </c>
      <c r="D8" s="24" t="n">
        <v>27</v>
      </c>
      <c r="E8" s="22" t="s">
        <v>143</v>
      </c>
      <c r="F8" s="25" t="n">
        <f aca="false">C8*D8</f>
        <v>81</v>
      </c>
    </row>
    <row r="9" customFormat="false" ht="15" hidden="false" customHeight="true" outlineLevel="0" collapsed="false">
      <c r="A9" s="22" t="s">
        <v>145</v>
      </c>
      <c r="B9" s="22" t="s">
        <v>150</v>
      </c>
      <c r="C9" s="23" t="n">
        <v>3</v>
      </c>
      <c r="D9" s="24" t="n">
        <v>31.19</v>
      </c>
      <c r="E9" s="22" t="s">
        <v>143</v>
      </c>
      <c r="F9" s="25" t="n">
        <f aca="false">C9*D9</f>
        <v>93.57</v>
      </c>
    </row>
    <row r="10" customFormat="false" ht="15" hidden="false" customHeight="true" outlineLevel="0" collapsed="false">
      <c r="A10" s="22" t="s">
        <v>145</v>
      </c>
      <c r="B10" s="22" t="s">
        <v>151</v>
      </c>
      <c r="C10" s="23" t="n">
        <v>6</v>
      </c>
      <c r="D10" s="24" t="n">
        <v>10.25</v>
      </c>
      <c r="E10" s="22" t="s">
        <v>143</v>
      </c>
      <c r="F10" s="25" t="n">
        <f aca="false">C10*D10</f>
        <v>61.5</v>
      </c>
    </row>
    <row r="11" customFormat="false" ht="15" hidden="false" customHeight="true" outlineLevel="0" collapsed="false">
      <c r="A11" s="22" t="s">
        <v>152</v>
      </c>
      <c r="B11" s="22" t="s">
        <v>153</v>
      </c>
      <c r="C11" s="23" t="n">
        <v>1</v>
      </c>
      <c r="D11" s="24" t="n">
        <v>79.95</v>
      </c>
      <c r="E11" s="22" t="s">
        <v>147</v>
      </c>
      <c r="F11" s="25" t="n">
        <f aca="false">C11*D11</f>
        <v>79.95</v>
      </c>
    </row>
    <row r="12" customFormat="false" ht="15" hidden="false" customHeight="true" outlineLevel="0" collapsed="false">
      <c r="A12" s="22" t="s">
        <v>152</v>
      </c>
      <c r="B12" s="22" t="s">
        <v>154</v>
      </c>
      <c r="C12" s="23" t="n">
        <v>1</v>
      </c>
      <c r="D12" s="24" t="n">
        <v>15.99</v>
      </c>
      <c r="E12" s="22" t="s">
        <v>147</v>
      </c>
      <c r="F12" s="25" t="n">
        <f aca="false">C12*D12</f>
        <v>15.99</v>
      </c>
    </row>
    <row r="13" customFormat="false" ht="15" hidden="false" customHeight="true" outlineLevel="0" collapsed="false">
      <c r="A13" s="22" t="s">
        <v>152</v>
      </c>
      <c r="B13" s="22" t="s">
        <v>155</v>
      </c>
      <c r="C13" s="23" t="n">
        <v>1</v>
      </c>
      <c r="D13" s="24" t="n">
        <v>15.99</v>
      </c>
      <c r="E13" s="22" t="s">
        <v>147</v>
      </c>
      <c r="F13" s="25" t="n">
        <f aca="false">C13*D13</f>
        <v>15.99</v>
      </c>
    </row>
    <row r="14" customFormat="false" ht="15" hidden="false" customHeight="true" outlineLevel="0" collapsed="false">
      <c r="A14" s="22" t="s">
        <v>152</v>
      </c>
      <c r="B14" s="22" t="s">
        <v>156</v>
      </c>
      <c r="C14" s="23" t="n">
        <v>2</v>
      </c>
      <c r="D14" s="24" t="n">
        <v>24.99</v>
      </c>
      <c r="E14" s="22" t="s">
        <v>147</v>
      </c>
      <c r="F14" s="25" t="n">
        <f aca="false">C14*D14</f>
        <v>49.98</v>
      </c>
    </row>
    <row r="15" customFormat="false" ht="15" hidden="false" customHeight="true" outlineLevel="0" collapsed="false">
      <c r="A15" s="22" t="s">
        <v>152</v>
      </c>
      <c r="B15" s="22" t="s">
        <v>157</v>
      </c>
      <c r="C15" s="23" t="n">
        <v>3</v>
      </c>
      <c r="D15" s="24" t="n">
        <v>0.95</v>
      </c>
      <c r="E15" s="22" t="s">
        <v>147</v>
      </c>
      <c r="F15" s="25" t="n">
        <f aca="false">C15*D15</f>
        <v>2.85</v>
      </c>
    </row>
    <row r="16" customFormat="false" ht="15" hidden="false" customHeight="true" outlineLevel="0" collapsed="false">
      <c r="A16" s="22" t="s">
        <v>152</v>
      </c>
      <c r="B16" s="22" t="s">
        <v>158</v>
      </c>
      <c r="C16" s="23" t="n">
        <v>3</v>
      </c>
      <c r="D16" s="24" t="n">
        <v>0.95</v>
      </c>
      <c r="E16" s="22" t="s">
        <v>147</v>
      </c>
      <c r="F16" s="25" t="n">
        <f aca="false">C16*D16</f>
        <v>2.85</v>
      </c>
    </row>
    <row r="17" customFormat="false" ht="15" hidden="false" customHeight="true" outlineLevel="0" collapsed="false">
      <c r="A17" s="22" t="s">
        <v>152</v>
      </c>
      <c r="B17" s="22" t="s">
        <v>159</v>
      </c>
      <c r="C17" s="23" t="n">
        <v>4</v>
      </c>
      <c r="D17" s="24" t="n">
        <v>71.99</v>
      </c>
      <c r="E17" s="22" t="s">
        <v>143</v>
      </c>
      <c r="F17" s="25" t="n">
        <f aca="false">C17*D17</f>
        <v>287.96</v>
      </c>
    </row>
    <row r="18" customFormat="false" ht="15" hidden="false" customHeight="true" outlineLevel="0" collapsed="false">
      <c r="A18" s="22" t="s">
        <v>152</v>
      </c>
      <c r="B18" s="22" t="s">
        <v>160</v>
      </c>
      <c r="C18" s="23" t="n">
        <v>3</v>
      </c>
      <c r="D18" s="24" t="n">
        <v>10.99</v>
      </c>
      <c r="E18" s="22" t="s">
        <v>161</v>
      </c>
      <c r="F18" s="25" t="n">
        <f aca="false">C18*D18</f>
        <v>32.97</v>
      </c>
    </row>
    <row r="19" customFormat="false" ht="15" hidden="false" customHeight="true" outlineLevel="0" collapsed="false">
      <c r="A19" s="22" t="s">
        <v>152</v>
      </c>
      <c r="B19" s="22" t="s">
        <v>162</v>
      </c>
      <c r="C19" s="23" t="n">
        <v>1</v>
      </c>
      <c r="D19" s="24" t="n">
        <v>14.99</v>
      </c>
      <c r="E19" s="22" t="s">
        <v>161</v>
      </c>
      <c r="F19" s="25" t="n">
        <f aca="false">C19*D19</f>
        <v>14.99</v>
      </c>
    </row>
    <row r="20" customFormat="false" ht="15" hidden="false" customHeight="true" outlineLevel="0" collapsed="false">
      <c r="A20" s="22" t="s">
        <v>152</v>
      </c>
      <c r="B20" s="22" t="s">
        <v>163</v>
      </c>
      <c r="C20" s="23" t="n">
        <v>1</v>
      </c>
      <c r="D20" s="24" t="n">
        <v>25</v>
      </c>
      <c r="E20" s="22" t="s">
        <v>161</v>
      </c>
      <c r="F20" s="25" t="n">
        <f aca="false">C20*D20</f>
        <v>25</v>
      </c>
    </row>
    <row r="21" customFormat="false" ht="15" hidden="false" customHeight="true" outlineLevel="0" collapsed="false">
      <c r="A21" s="22" t="s">
        <v>152</v>
      </c>
      <c r="B21" s="22" t="s">
        <v>164</v>
      </c>
      <c r="C21" s="23" t="n">
        <v>1</v>
      </c>
      <c r="D21" s="24" t="n">
        <v>6.99</v>
      </c>
      <c r="E21" s="22" t="s">
        <v>161</v>
      </c>
      <c r="F21" s="25" t="n">
        <f aca="false">C21*D21</f>
        <v>6.99</v>
      </c>
    </row>
    <row r="22" customFormat="false" ht="15" hidden="false" customHeight="true" outlineLevel="0" collapsed="false">
      <c r="A22" s="22" t="s">
        <v>152</v>
      </c>
      <c r="B22" s="22" t="s">
        <v>165</v>
      </c>
      <c r="C22" s="23" t="n">
        <v>1</v>
      </c>
      <c r="D22" s="24" t="n">
        <v>5.99</v>
      </c>
      <c r="E22" s="22" t="s">
        <v>161</v>
      </c>
      <c r="F22" s="25" t="n">
        <f aca="false">C22*D22</f>
        <v>5.99</v>
      </c>
    </row>
    <row r="23" customFormat="false" ht="15" hidden="false" customHeight="true" outlineLevel="0" collapsed="false">
      <c r="A23" s="22" t="s">
        <v>152</v>
      </c>
      <c r="B23" s="22" t="s">
        <v>166</v>
      </c>
      <c r="C23" s="23" t="n">
        <v>1</v>
      </c>
      <c r="D23" s="24" t="n">
        <v>11.99</v>
      </c>
      <c r="E23" s="22" t="s">
        <v>161</v>
      </c>
      <c r="F23" s="25" t="n">
        <f aca="false">C23*D23</f>
        <v>11.99</v>
      </c>
    </row>
    <row r="24" customFormat="false" ht="15" hidden="false" customHeight="true" outlineLevel="0" collapsed="false">
      <c r="A24" s="22" t="s">
        <v>152</v>
      </c>
      <c r="B24" s="22" t="s">
        <v>167</v>
      </c>
      <c r="C24" s="23" t="n">
        <v>1</v>
      </c>
      <c r="D24" s="24" t="n">
        <v>9.75</v>
      </c>
      <c r="E24" s="22" t="s">
        <v>143</v>
      </c>
      <c r="F24" s="25" t="n">
        <f aca="false">C24*D24</f>
        <v>9.75</v>
      </c>
    </row>
    <row r="25" customFormat="false" ht="34.5" hidden="false" customHeight="true" outlineLevel="0" collapsed="false">
      <c r="A25" s="22" t="s">
        <v>152</v>
      </c>
      <c r="B25" s="26" t="s">
        <v>168</v>
      </c>
      <c r="C25" s="23" t="n">
        <v>1</v>
      </c>
      <c r="D25" s="24" t="n">
        <v>481</v>
      </c>
      <c r="E25" s="22" t="s">
        <v>169</v>
      </c>
      <c r="F25" s="25" t="n">
        <f aca="false">C25*D25</f>
        <v>481</v>
      </c>
    </row>
    <row r="26" customFormat="false" ht="15" hidden="false" customHeight="true" outlineLevel="0" collapsed="false">
      <c r="A26" s="22" t="s">
        <v>170</v>
      </c>
      <c r="B26" s="22" t="s">
        <v>171</v>
      </c>
      <c r="C26" s="23" t="n">
        <v>1</v>
      </c>
      <c r="D26" s="24" t="n">
        <v>9.99</v>
      </c>
      <c r="E26" s="22" t="s">
        <v>147</v>
      </c>
      <c r="F26" s="25" t="n">
        <f aca="false">C26*D26</f>
        <v>9.99</v>
      </c>
    </row>
    <row r="27" customFormat="false" ht="15" hidden="false" customHeight="true" outlineLevel="0" collapsed="false">
      <c r="A27" s="22" t="s">
        <v>170</v>
      </c>
      <c r="B27" s="22" t="s">
        <v>172</v>
      </c>
      <c r="C27" s="23" t="n">
        <v>1</v>
      </c>
      <c r="D27" s="24" t="n">
        <v>21.39</v>
      </c>
      <c r="E27" s="22" t="s">
        <v>161</v>
      </c>
      <c r="F27" s="25" t="n">
        <f aca="false">C27*D27</f>
        <v>21.39</v>
      </c>
    </row>
    <row r="28" customFormat="false" ht="15" hidden="false" customHeight="true" outlineLevel="0" collapsed="false">
      <c r="A28" s="22" t="s">
        <v>170</v>
      </c>
      <c r="B28" s="22" t="s">
        <v>173</v>
      </c>
      <c r="C28" s="23" t="n">
        <v>1</v>
      </c>
      <c r="D28" s="24" t="n">
        <v>10.99</v>
      </c>
      <c r="E28" s="22" t="s">
        <v>161</v>
      </c>
      <c r="F28" s="25" t="n">
        <f aca="false">C28*D28</f>
        <v>10.99</v>
      </c>
    </row>
    <row r="29" customFormat="false" ht="15" hidden="false" customHeight="true" outlineLevel="0" collapsed="false">
      <c r="A29" s="10" t="s">
        <v>174</v>
      </c>
      <c r="B29" s="11"/>
      <c r="C29" s="11"/>
      <c r="D29" s="11"/>
      <c r="E29" s="11"/>
      <c r="F29" s="12" t="n">
        <f aca="false">SUM(F2:F28)</f>
        <v>1972.55</v>
      </c>
    </row>
    <row r="31" customFormat="false" ht="15" hidden="false" customHeight="true" outlineLevel="0" collapsed="false">
      <c r="A31" s="21" t="s">
        <v>175</v>
      </c>
    </row>
    <row r="32" customFormat="false" ht="15" hidden="false" customHeight="true" outlineLevel="0" collapsed="false">
      <c r="A32" s="27" t="s">
        <v>176</v>
      </c>
      <c r="B32" s="28" t="n">
        <v>2086.13</v>
      </c>
    </row>
    <row r="33" customFormat="false" ht="15" hidden="false" customHeight="true" outlineLevel="0" collapsed="false">
      <c r="A33" s="21" t="s">
        <v>177</v>
      </c>
      <c r="B33" s="29" t="n">
        <f aca="false">B32-(F29-F7)</f>
        <v>293.57</v>
      </c>
    </row>
    <row r="34" customFormat="false" ht="15" hidden="false" customHeight="true" outlineLevel="0" collapsed="false">
      <c r="A34" s="21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2026-06-20T03:15:31Z</dcterms:created>
  <dc:creator>openpyxl</dc:creator>
  <dc:description/>
  <dc:language>en-US</dc:language>
  <cp:lastModifiedBy/>
  <dcterms:modified xsi:type="dcterms:W3CDTF">2026-06-20T15:22:10Z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