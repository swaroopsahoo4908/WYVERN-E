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  <sheet name="Summary" sheetId="2" state="visible" r:id="rId4"/>
    <sheet name="Purchase Links" sheetId="3" state="visible" r:id="rId5"/>
    <sheet name="GSE &amp; Test Equip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<sst xmlns="http://schemas.openxmlformats.org/spreadsheetml/2006/main" count="880" uniqueCount="297">
  <si>
    <t xml:space="preserve">WYVERN-E 3.0 — Master Bill of Materials (complete project)</t>
  </si>
  <si>
    <t xml:space="preserve">Prices re-verified 2026-06-21 (Adafruit/Apogee/CSRocketry live; Amazon=list) · Pi5 4GB $130 · booster = F52T reload (ARC-legal F) ×12 + 4 casings · Teensy 4.0 runs real-time hardware PWM (servos via PCA9685) · wind tunnel + TVC balance on 'GSE &amp; Test Equip' sheet · *PJRC/JollyLogic/McMaster = noted exceptions</t>
  </si>
  <si>
    <t xml:space="preserve">1. Flight Computer, Sensors &amp; Control</t>
  </si>
  <si>
    <t xml:space="preserve">Item</t>
  </si>
  <si>
    <t xml:space="preserve">Storefront</t>
  </si>
  <si>
    <t xml:space="preserve">Part # / Spec</t>
  </si>
  <si>
    <t xml:space="preserve">Link</t>
  </si>
  <si>
    <t xml:space="preserve">Stock</t>
  </si>
  <si>
    <t xml:space="preserve">Qty</t>
  </si>
  <si>
    <t xml:space="preserve">Unit ($)</t>
  </si>
  <si>
    <t xml:space="preserve">Line ($)</t>
  </si>
  <si>
    <t xml:space="preserve">Raspberry Pi 5 (4 GB)</t>
  </si>
  <si>
    <t xml:space="preserve">Adafruit</t>
  </si>
  <si>
    <t xml:space="preserve">ID 5812</t>
  </si>
  <si>
    <t xml:space="preserve">Buy ▸</t>
  </si>
  <si>
    <t xml:space="preserve">In stock</t>
  </si>
  <si>
    <t xml:space="preserve">Official Pi 5 Active Cooler</t>
  </si>
  <si>
    <t xml:space="preserve">ID 5815</t>
  </si>
  <si>
    <t xml:space="preserve">Teensy 4.0 — real-time TVC PWM / control coprocessor</t>
  </si>
  <si>
    <t xml:space="preserve">PJRC*</t>
  </si>
  <si>
    <t xml:space="preserve">Teensy 4.0</t>
  </si>
  <si>
    <t xml:space="preserve">Camera Module 3</t>
  </si>
  <si>
    <t xml:space="preserve">ID 5657</t>
  </si>
  <si>
    <t xml:space="preserve">Pi 5 FPC camera cable 22→15-pin 200mm</t>
  </si>
  <si>
    <t xml:space="preserve">ID 5818</t>
  </si>
  <si>
    <t xml:space="preserve">BNO085 9-DOF IMU (gimbal / FC / nose)</t>
  </si>
  <si>
    <t xml:space="preserve">ID 4754</t>
  </si>
  <si>
    <t xml:space="preserve">LSM6DSO32 ±32 g accel/gyro</t>
  </si>
  <si>
    <t xml:space="preserve">ID 4692</t>
  </si>
  <si>
    <t xml:space="preserve">LIS2MDL magnetometer</t>
  </si>
  <si>
    <t xml:space="preserve">ID 4488</t>
  </si>
  <si>
    <t xml:space="preserve">BMP280 barometer</t>
  </si>
  <si>
    <t xml:space="preserve">ID 2651</t>
  </si>
  <si>
    <t xml:space="preserve">BME688 gas/T/P/RH</t>
  </si>
  <si>
    <t xml:space="preserve">ID 5046</t>
  </si>
  <si>
    <t xml:space="preserve">microSD SPI breakout (video + log)</t>
  </si>
  <si>
    <t xml:space="preserve">ID 4682</t>
  </si>
  <si>
    <t xml:space="preserve">SanDisk 32 GB microSD (video/log/boot)</t>
  </si>
  <si>
    <t xml:space="preserve">Amazon</t>
  </si>
  <si>
    <t xml:space="preserve">B08GY9NYRM</t>
  </si>
  <si>
    <t xml:space="preserve">TCA9548A I2C multiplexer</t>
  </si>
  <si>
    <t xml:space="preserve">ID 2717</t>
  </si>
  <si>
    <t xml:space="preserve">Perma-Proto HAT</t>
  </si>
  <si>
    <t xml:space="preserve">ID 2310</t>
  </si>
  <si>
    <t xml:space="preserve">GPIO stacking header 2x20 (Pi 5)</t>
  </si>
  <si>
    <t xml:space="preserve">ID 2223</t>
  </si>
  <si>
    <t xml:space="preserve">Arduino Nano (3-pk) — bench / stand DAQ</t>
  </si>
  <si>
    <t xml:space="preserve">LAFVIN B07G99NNXL</t>
  </si>
  <si>
    <t xml:space="preserve">Subtotal</t>
  </si>
  <si>
    <t xml:space="preserve">2. Power System (USB-C rechargeable)</t>
  </si>
  <si>
    <t xml:space="preserve">3S Li-Po 11.1 V 3000 mAh w/ XT60</t>
  </si>
  <si>
    <t xml:space="preserve">E-flite B013TKVHPO</t>
  </si>
  <si>
    <t xml:space="preserve">IP2368 USB-C PD buck-boost charge board</t>
  </si>
  <si>
    <t xml:space="preserve">B0DP6CGN33</t>
  </si>
  <si>
    <t xml:space="preserve">DROK 9-36V→5V 6A buck (Pi 5 rail)</t>
  </si>
  <si>
    <t xml:space="preserve">DROK B01NALDSJ0</t>
  </si>
  <si>
    <t xml:space="preserve">DROK 6.5-36V→1.2-32V 4.5A buck (6 V servo rail)</t>
  </si>
  <si>
    <t xml:space="preserve">DROK B07FL6PBZF</t>
  </si>
  <si>
    <t xml:space="preserve">Master switch + fuse + distribution</t>
  </si>
  <si>
    <t xml:space="preserve">ID 3218</t>
  </si>
  <si>
    <t xml:space="preserve">3. Recovery &amp; Pyro</t>
  </si>
  <si>
    <t xml:space="preserve">MissileWorks RRC3+ dual-deploy + 2nd-stage</t>
  </si>
  <si>
    <t xml:space="preserve">Apogee</t>
  </si>
  <si>
    <t xml:space="preserve">id 2048</t>
  </si>
  <si>
    <t xml:space="preserve">Jolly Logic Altimeter 2 (backup record)</t>
  </si>
  <si>
    <t xml:space="preserve">Jolly Logic*</t>
  </si>
  <si>
    <t xml:space="preserve">AltimeterTwo</t>
  </si>
  <si>
    <t xml:space="preserve">Estes Rip Stop 24" nylon parachute</t>
  </si>
  <si>
    <t xml:space="preserve">Estes</t>
  </si>
  <si>
    <t xml:space="preserve">Rip Stop 24</t>
  </si>
  <si>
    <t xml:space="preserve">1/8" Kevlar shock cord (4500#, 30 ft)</t>
  </si>
  <si>
    <t xml:space="preserve">Kevlar 30ft</t>
  </si>
  <si>
    <t xml:space="preserve">Firewire initiators (6/pk)</t>
  </si>
  <si>
    <t xml:space="preserve">id 2449</t>
  </si>
  <si>
    <t xml:space="preserve">Ejection canister caps (2 pk)</t>
  </si>
  <si>
    <t xml:space="preserve">E-Match Mate</t>
  </si>
  <si>
    <t xml:space="preserve">FFFFg black powder (per-flight lot)</t>
  </si>
  <si>
    <t xml:space="preserve">Ejection Sys</t>
  </si>
  <si>
    <t xml:space="preserve">4. TVC — System A (tri-solenoid; Teensy hardware PWM)</t>
  </si>
  <si>
    <t xml:space="preserve">50 N 12 V solenoid (gimbal actuator)</t>
  </si>
  <si>
    <t xml:space="preserve">TOMSHIELE B0CTG4X882</t>
  </si>
  <si>
    <t xml:space="preserve">IRF520 MOSFET driver (4-ct) — gated by Teensy FlexPWM</t>
  </si>
  <si>
    <t xml:space="preserve">HiLetgo B01I1J14MO</t>
  </si>
  <si>
    <t xml:space="preserve">1N4007 flyback diodes (125-ct)</t>
  </si>
  <si>
    <t xml:space="preserve">B0FC2CQF24</t>
  </si>
  <si>
    <t xml:space="preserve">N52 magnets 1.26in (20-ct) — gimbal return/detent</t>
  </si>
  <si>
    <t xml:space="preserve">B093G7WYY9</t>
  </si>
  <si>
    <t xml:space="preserve">5. TVC — System B (servo-gimbal; PCA9685 hardware PWM)</t>
  </si>
  <si>
    <t xml:space="preserve">DS3235 35 kg·cm digital servo</t>
  </si>
  <si>
    <t xml:space="preserve">ANNIMOS B0BBB8DBRR</t>
  </si>
  <si>
    <t xml:space="preserve">PCA9685 16-ch hardware PWM driver (I²C)</t>
  </si>
  <si>
    <t xml:space="preserve">ID 815</t>
  </si>
  <si>
    <t xml:space="preserve">Servo gimbal linkage + ball-links</t>
  </si>
  <si>
    <t xml:space="preserve">McMaster*</t>
  </si>
  <si>
    <t xml:space="preserve">ball-links</t>
  </si>
  <si>
    <t xml:space="preserve">6. Propulsion (reloads; booster ≥10 + 3+ casings per spec)</t>
  </si>
  <si>
    <t xml:space="preserve">AeroTech G25W-10 sustainer reload (4.7 s TVC burn)</t>
  </si>
  <si>
    <t xml:space="preserve">G25W-10</t>
  </si>
  <si>
    <t xml:space="preserve">AeroTech F52T booster reload (ARC-legal F, 70.9 N init)</t>
  </si>
  <si>
    <t xml:space="preserve">F52T-5</t>
  </si>
  <si>
    <t xml:space="preserve">Regular (split vendors &gt;10)</t>
  </si>
  <si>
    <t xml:space="preserve">RMS-29/40-120 casing (≥3 booster + 1 sustainer; fits both)</t>
  </si>
  <si>
    <t xml:space="preserve">#91291</t>
  </si>
  <si>
    <t xml:space="preserve">FirstFire Jr igniters (3-pk; spares + 2nd-stage)</t>
  </si>
  <si>
    <t xml:space="preserve">id 578</t>
  </si>
  <si>
    <t xml:space="preserve">Estes E12-0 motors — jetvane erosion (RQ3)</t>
  </si>
  <si>
    <t xml:space="preserve">E12-0</t>
  </si>
  <si>
    <t xml:space="preserve">7. Airframe &amp; Mechanism (filament, qty = kg, unit = $/kg)</t>
  </si>
  <si>
    <t xml:space="preserve">PETG-CF (structure + FC bay)</t>
  </si>
  <si>
    <t xml:space="preserve">Bambu Lab</t>
  </si>
  <si>
    <t xml:space="preserve">PETG-CF</t>
  </si>
  <si>
    <t xml:space="preserve">ASA Aero (nose / fairings)</t>
  </si>
  <si>
    <t xml:space="preserve">ASA-Aero</t>
  </si>
  <si>
    <t xml:space="preserve">PC-FR (fins + TVC bay + bulkhead)</t>
  </si>
  <si>
    <t xml:space="preserve">PC-FR</t>
  </si>
  <si>
    <t xml:space="preserve">PLA Basic (RQ2 fin test articles)</t>
  </si>
  <si>
    <t xml:space="preserve">PLA-Basic</t>
  </si>
  <si>
    <t xml:space="preserve">8. Harness, Connectors &amp; Assembly Consumables</t>
  </si>
  <si>
    <t xml:space="preserve">STEMMA QT JST-SH cable (female)</t>
  </si>
  <si>
    <t xml:space="preserve">ID 4209</t>
  </si>
  <si>
    <t xml:space="preserve">STEMMA QT JST-SH cable (male)</t>
  </si>
  <si>
    <t xml:space="preserve">ID 4397</t>
  </si>
  <si>
    <t xml:space="preserve">24 AWG flexible silicone wire kit</t>
  </si>
  <si>
    <t xml:space="preserve">TUOFENG B07G2BWBX8</t>
  </si>
  <si>
    <t xml:space="preserve">Breadboard jumper wire kit + RBF pull-pin</t>
  </si>
  <si>
    <t xml:space="preserve">B0C1VDKPW2</t>
  </si>
  <si>
    <t xml:space="preserve">IDC 2x10 20P connector (5-pk)</t>
  </si>
  <si>
    <t xml:space="preserve">B01MT921QT</t>
  </si>
  <si>
    <t xml:space="preserve">Kapton high-temp tape</t>
  </si>
  <si>
    <t xml:space="preserve">ELEGOO B072Z92QZ2</t>
  </si>
  <si>
    <t xml:space="preserve">3:1 adhesive heat-shrink kit (130 pc)</t>
  </si>
  <si>
    <t xml:space="preserve">MILAPEAK B071H5XC7C</t>
  </si>
  <si>
    <t xml:space="preserve">M2.5 brass standoff/screw/nut kit (220 pc)</t>
  </si>
  <si>
    <t xml:space="preserve">GeeekPi B07PHBTTGV</t>
  </si>
  <si>
    <t xml:space="preserve">Super Lube PTFE grease</t>
  </si>
  <si>
    <t xml:space="preserve">B000XBH9HI</t>
  </si>
  <si>
    <t xml:space="preserve">J-B Weld twin-tube epoxy</t>
  </si>
  <si>
    <t xml:space="preserve">B0B5VNG2YT</t>
  </si>
  <si>
    <t xml:space="preserve">9. Ground Support — launch &amp; static stand</t>
  </si>
  <si>
    <t xml:space="preserve">20 kg load cell + HX711 (static thrust stand)</t>
  </si>
  <si>
    <t xml:space="preserve">NOYITO B07BGS58TL</t>
  </si>
  <si>
    <t xml:space="preserve">Metro M4 + microSD (stand DAQ)</t>
  </si>
  <si>
    <t xml:space="preserve">ID 3382</t>
  </si>
  <si>
    <t xml:space="preserve">OOS→Nano</t>
  </si>
  <si>
    <t xml:space="preserve">Servo TVC bench gimbal test rig</t>
  </si>
  <si>
    <t xml:space="preserve">printed + hw</t>
  </si>
  <si>
    <t xml:space="preserve">Estes Pro Series II launch controller</t>
  </si>
  <si>
    <t xml:space="preserve">2240</t>
  </si>
  <si>
    <t xml:space="preserve">80/20 1010 launch rail (8 ft) + pad</t>
  </si>
  <si>
    <t xml:space="preserve">B01LWISXZL</t>
  </si>
  <si>
    <t xml:space="preserve">PLA filament (wind tunnel build) — kg</t>
  </si>
  <si>
    <t xml:space="preserve">10. Tools — one-time, specialized</t>
  </si>
  <si>
    <t xml:space="preserve">Soldering kit 30-in-1 (iron, desolder, tweezers, solder)</t>
  </si>
  <si>
    <t xml:space="preserve">B07Q2B4ZY9</t>
  </si>
  <si>
    <t xml:space="preserve">AstroAI TRMS 6000-count multimeter</t>
  </si>
  <si>
    <t xml:space="preserve">B071JL6LLL</t>
  </si>
  <si>
    <t xml:space="preserve">Helping-hands station w/ LED magnifier</t>
  </si>
  <si>
    <t xml:space="preserve">SainSmart B09B73XL33</t>
  </si>
  <si>
    <t xml:space="preserve">iFixit Pro Tech precision driver toolkit</t>
  </si>
  <si>
    <t xml:space="preserve">B01GF0KV6G</t>
  </si>
  <si>
    <t xml:space="preserve">Neiko 01407A 6in digital caliper</t>
  </si>
  <si>
    <t xml:space="preserve">B000GSLKIW</t>
  </si>
  <si>
    <t xml:space="preserve">iCrimp SN-2549 crimper + 1550-pc JST/Dupont kit</t>
  </si>
  <si>
    <t xml:space="preserve">B08ZRT496D</t>
  </si>
  <si>
    <t xml:space="preserve">GRAND TOTAL (vehicle + electronics + harness + GSE + tools)</t>
  </si>
  <si>
    <t xml:space="preserve">WYVERN-E 3.0 — Cost Summary</t>
  </si>
  <si>
    <t xml:space="preserve">Category</t>
  </si>
  <si>
    <t xml:space="preserve">Subtotal ($)</t>
  </si>
  <si>
    <t xml:space="preserve">GRAND TOTAL</t>
  </si>
  <si>
    <t xml:space="preserve">+ GSE &amp; Test Equip (separate sheet)</t>
  </si>
  <si>
    <t xml:space="preserve">WYVERN-E 3.0 — Full Purchase Links (master)</t>
  </si>
  <si>
    <t xml:space="preserve">Full URL</t>
  </si>
  <si>
    <t xml:space="preserve">https://www.adafruit.com/product/5812</t>
  </si>
  <si>
    <t xml:space="preserve">https://www.adafruit.com/product/5815</t>
  </si>
  <si>
    <t xml:space="preserve">https://www.pjrc.com/store/teensy40.html</t>
  </si>
  <si>
    <t xml:space="preserve">https://www.adafruit.com/product/5657</t>
  </si>
  <si>
    <t xml:space="preserve">https://www.adafruit.com/product/5818</t>
  </si>
  <si>
    <t xml:space="preserve">https://www.adafruit.com/product/4754</t>
  </si>
  <si>
    <t xml:space="preserve">https://www.adafruit.com/product/4692</t>
  </si>
  <si>
    <t xml:space="preserve">https://www.adafruit.com/product/4488</t>
  </si>
  <si>
    <t xml:space="preserve">https://www.adafruit.com/product/2651</t>
  </si>
  <si>
    <t xml:space="preserve">https://www.adafruit.com/product/5046</t>
  </si>
  <si>
    <t xml:space="preserve">https://www.adafruit.com/product/4682</t>
  </si>
  <si>
    <t xml:space="preserve">https://www.amazon.com/dp/B08GY9NYRM</t>
  </si>
  <si>
    <t xml:space="preserve">https://www.adafruit.com/product/2717</t>
  </si>
  <si>
    <t xml:space="preserve">https://www.adafruit.com/product/2310</t>
  </si>
  <si>
    <t xml:space="preserve">https://www.adafruit.com/product/2223</t>
  </si>
  <si>
    <t xml:space="preserve">https://www.amazon.com/LAFVIN-Board-ATmega328P-Micro-Controller-Arduino/dp/B07G99NNXL</t>
  </si>
  <si>
    <t xml:space="preserve">https://www.amazon.com/Battery-Helicopter-Quadcopter-3S3000-30-XT60-EFLB30003S30/dp/B013TKVHPO</t>
  </si>
  <si>
    <t xml:space="preserve">https://www.amazon.com/Ruitutedianzi-Bidirectional-Charging-Buck-Boost-Interface/dp/B0DP6CGN33</t>
  </si>
  <si>
    <t xml:space="preserve">https://www.amazon.com/Converter-DROK-Regulator-Inverter-Transformer/dp/B01NALDSJ0</t>
  </si>
  <si>
    <t xml:space="preserve">https://www.amazon.com/Converter-DROK-Regulator-Transformer-Protection/dp/B07FL6PBZF</t>
  </si>
  <si>
    <t xml:space="preserve">https://www.adafruit.com/product/3218</t>
  </si>
  <si>
    <t xml:space="preserve">https://www.apogeerockets.com/index.php?cpath=&amp;main_page=product_info&amp;products_id=2048</t>
  </si>
  <si>
    <t xml:space="preserve">https://jollylogic.com/products/altimetertwo/</t>
  </si>
  <si>
    <t xml:space="preserve">https://estesrockets.com/products/rip-stop-parachute</t>
  </si>
  <si>
    <t xml:space="preserve">https://www.apogeerockets.com/Building-Supplies/Shock-Cord/Kevlar-Shock-Cord-4500-30-feet-long-2-loops</t>
  </si>
  <si>
    <t xml:space="preserve">https://www.apogeerockets.com/index.php?main_page=product_info&amp;products_id=2449</t>
  </si>
  <si>
    <t xml:space="preserve">https://www.apogeerockets.com/Ejection_Systems/Ejection_Canisters/Ejection_Canister_Caps_2_pk</t>
  </si>
  <si>
    <t xml:space="preserve">https://www.apogeerockets.com/Ejection_Systems</t>
  </si>
  <si>
    <t xml:space="preserve">https://www.amazon.com/dp/B0CTG4X882</t>
  </si>
  <si>
    <t xml:space="preserve">https://www.amazon.com/dp/B01I1J14MO</t>
  </si>
  <si>
    <t xml:space="preserve">https://www.amazon.com/dp/B0FC2CQF24</t>
  </si>
  <si>
    <t xml:space="preserve">https://www.amazon.com/dp/B093G7WYY9</t>
  </si>
  <si>
    <t xml:space="preserve">https://www.amazon.com/ANNIMOS-Waterproof-Torque-Digital-Steering/dp/B0BBB8DBRR</t>
  </si>
  <si>
    <t xml:space="preserve">https://www.adafruit.com/product/815</t>
  </si>
  <si>
    <t xml:space="preserve">https://www.mcmaster.com/</t>
  </si>
  <si>
    <t xml:space="preserve">https://www.apogeerockets.com/Rocket_Motors/AeroTech_Motors/29mm_Propellant_Kits/29_120_Motors/Aerotech_29mm_Propellant_Kit_G25W-10</t>
  </si>
  <si>
    <t xml:space="preserve">https://www.apogeerockets.com/Rocket_Motors/AeroTech_Motors/29mm_Propellant_Kits/29_40-120/Aerotech_Motor_F52T-8</t>
  </si>
  <si>
    <t xml:space="preserve">https://www.apogeerockets.com/Rocket_Motors/Rouse-Tech_Casings/29mm_Casings/RMS-29_40-120</t>
  </si>
  <si>
    <t xml:space="preserve">https://www.apogeerockets.com/index.php?main_page=product_info&amp;products_id=578</t>
  </si>
  <si>
    <t xml:space="preserve">https://estesrockets.com/products/e12-0-engines</t>
  </si>
  <si>
    <t xml:space="preserve">https://us.store.bambulab.com/products/petg-cf</t>
  </si>
  <si>
    <t xml:space="preserve">https://us.store.bambulab.com/products/asa-aero</t>
  </si>
  <si>
    <t xml:space="preserve">https://us.store.bambulab.com/products/pc-fr</t>
  </si>
  <si>
    <t xml:space="preserve">https://us.store.bambulab.com/products/pla-basic-filament</t>
  </si>
  <si>
    <t xml:space="preserve">https://www.adafruit.com/product/4209</t>
  </si>
  <si>
    <t xml:space="preserve">https://www.adafruit.com/product/4397</t>
  </si>
  <si>
    <t xml:space="preserve">https://www.amazon.com/dp/B07G2BWBX8</t>
  </si>
  <si>
    <t xml:space="preserve">https://www.amazon.com/dp/B0C1VDKPW2</t>
  </si>
  <si>
    <t xml:space="preserve">https://www.amazon.com/dp/B01MT921QT</t>
  </si>
  <si>
    <t xml:space="preserve">https://www.amazon.com/dp/B072Z92QZ2</t>
  </si>
  <si>
    <t xml:space="preserve">https://www.amazon.com/dp/B071H5XC7C</t>
  </si>
  <si>
    <t xml:space="preserve">https://www.amazon.com/dp/B07PHBTTGV</t>
  </si>
  <si>
    <t xml:space="preserve">https://www.amazon.com/dp/B000XBH9HI</t>
  </si>
  <si>
    <t xml:space="preserve">https://www.amazon.com/dp/B0B5VNG2YT</t>
  </si>
  <si>
    <t xml:space="preserve">https://www.amazon.com/NOYITO-10kg-20kg-HX711-Combo/dp/B07BGS58TL</t>
  </si>
  <si>
    <t xml:space="preserve">https://www.adafruit.com/product/3382</t>
  </si>
  <si>
    <t xml:space="preserve">https://estesrockets.com/products/pro-series-ii-launch-controller?variant=44470327574833</t>
  </si>
  <si>
    <t xml:space="preserve">https://www.amazon.com/80-20-1010-S-T-Slotted-Extrusion/dp/B01LWISXZL</t>
  </si>
  <si>
    <t xml:space="preserve">https://www.amazon.com/Soldering-Iron-Kit-Temperature-Desoldering/dp/B07Q2B4ZY9</t>
  </si>
  <si>
    <t xml:space="preserve">https://www.amazon.com/AstroAI-Multimeter-Resistance-Transistors-Temperature/dp/B071JL6LLL</t>
  </si>
  <si>
    <t xml:space="preserve">https://www.amazon.com/SainSmart-Magnetic-Soldering-Magnifying-Flexible/dp/B09B73XL33</t>
  </si>
  <si>
    <t xml:space="preserve">https://www.amazon.com/iFixit-Pro-Tech-Toolkit-Electronics/dp/B01GF0KV6G</t>
  </si>
  <si>
    <t xml:space="preserve">https://www.amazon.com/Neiko-01407A-Electronic-Digital-Stainless/dp/B000GSLKIW</t>
  </si>
  <si>
    <t xml:space="preserve">https://www.amazon.com/dp/B08ZRT496D</t>
  </si>
  <si>
    <t xml:space="preserve">WYVERN-E 3.0 — GSE &amp; Test Equipment (Hofferth wind tunnel · TVC balance)</t>
  </si>
  <si>
    <t xml:space="preserve">Fan = pick ONE: AC Infinity A8 (recommended, 724 CFM, force-measurement upgrade) OR Delta PFB1212UHE (compact 120 mm alt). See WYVERN_E3_GSE_TestEquipment.md for the trade study + print manifest. Amazon prices est.</t>
  </si>
  <si>
    <t xml:space="preserve">A. Wind Tunnel — Fan &amp; Drive (RECOMMENDED: 8" duct fan, best for force measurement)</t>
  </si>
  <si>
    <t xml:space="preserve">Need</t>
  </si>
  <si>
    <t xml:space="preserve">AC Infinity Cloudline A8 8" inline fan — 724 CFM, 42 dB, EC + 10-speed ctrl</t>
  </si>
  <si>
    <t xml:space="preserve">Cloudline A8</t>
  </si>
  <si>
    <t xml:space="preserve">Recommended</t>
  </si>
  <si>
    <t xml:space="preserve">Rubber duct coupler + hose clamps (diffuser → A8)</t>
  </si>
  <si>
    <t xml:space="preserve">duct coupler</t>
  </si>
  <si>
    <t xml:space="preserve">A2. Wind Tunnel — Fan alternative (compact 120 mm high-static-pressure)</t>
  </si>
  <si>
    <t xml:space="preserve">Delta PFB1212UHE 120mm fan — 253 CFM, 351 Pa, 48 W, 66 dB</t>
  </si>
  <si>
    <t xml:space="preserve">B0036WG1ES</t>
  </si>
  <si>
    <t xml:space="preserve">Alt</t>
  </si>
  <si>
    <t xml:space="preserve">12 V 10 A supply (PFB1212UHE only)</t>
  </si>
  <si>
    <t xml:space="preserve">Bringsmart B07F8PTQSY</t>
  </si>
  <si>
    <t xml:space="preserve">PWM DC speed controller 12-40 V 10 A (PFB only)</t>
  </si>
  <si>
    <t xml:space="preserve">RioRand B007TH4EN6</t>
  </si>
  <si>
    <t xml:space="preserve">B. Wind Tunnel — Flow Conditioning &amp; Assembly</t>
  </si>
  <si>
    <t xml:space="preserve">40-mesh SS woven screen (15 cm) — flow conditioning</t>
  </si>
  <si>
    <t xml:space="preserve">Inoxia B074XFJWWV</t>
  </si>
  <si>
    <t xml:space="preserve">Req'd</t>
  </si>
  <si>
    <t xml:space="preserve">80-mesh SS woven screen (15 cm) — flow conditioning</t>
  </si>
  <si>
    <t xml:space="preserve">Inoxia B074XGBD45</t>
  </si>
  <si>
    <t xml:space="preserve">Heat-set insert assortment M2-M6 (M5 junction rings, M2.5 window tabs)</t>
  </si>
  <si>
    <t xml:space="preserve">HANGLIFE B0CTGVDLKH</t>
  </si>
  <si>
    <t xml:space="preserve">Neodymium discs 6×2 mm (Gridfinity test-article bases, 100 pc)</t>
  </si>
  <si>
    <t xml:space="preserve">B096RFNYD9</t>
  </si>
  <si>
    <t xml:space="preserve">Neodymium discs 10×3 mm (test-section floor)</t>
  </si>
  <si>
    <t xml:space="preserve">10×3 mm</t>
  </si>
  <si>
    <t xml:space="preserve">2 mm OD brass tube (smoke-rake exit ports)</t>
  </si>
  <si>
    <t xml:space="preserve">brass tube</t>
  </si>
  <si>
    <t xml:space="preserve">Optional</t>
  </si>
  <si>
    <t xml:space="preserve">3 mm acrylic windows (80×130) or SendCutSend preset cart</t>
  </si>
  <si>
    <t xml:space="preserve">SendCutSend*</t>
  </si>
  <si>
    <t xml:space="preserve">preset cart</t>
  </si>
  <si>
    <t xml:space="preserve">O-rings ASTM A568-160 / -275 (inter-module seal)</t>
  </si>
  <si>
    <t xml:space="preserve">A568</t>
  </si>
  <si>
    <t xml:space="preserve">C. Wind Tunnel — Smoke/Light Visualization (optional)</t>
  </si>
  <si>
    <t xml:space="preserve">¼" Loc-Line coolant hose kit (smoke rake feed)</t>
  </si>
  <si>
    <t xml:space="preserve">LP-40413 B002QG4F8Y</t>
  </si>
  <si>
    <t xml:space="preserve">VG/PG smoke juice</t>
  </si>
  <si>
    <t xml:space="preserve">VG+PG</t>
  </si>
  <si>
    <t xml:space="preserve">520 nm green line laser (light sheet)</t>
  </si>
  <si>
    <t xml:space="preserve">OXLasers B0BY15NCY8</t>
  </si>
  <si>
    <t xml:space="preserve">RGBWW LED flood (Aputure MC)</t>
  </si>
  <si>
    <t xml:space="preserve">Aputure MC</t>
  </si>
  <si>
    <t xml:space="preserve">Handheld VG/PG fogger (MicroFogger / Ulanzi Filmog)</t>
  </si>
  <si>
    <t xml:space="preserve">see Hofferth list</t>
  </si>
  <si>
    <t xml:space="preserve">fogger</t>
  </si>
  <si>
    <t xml:space="preserve">D. TVC Thrust-Vector Balance (ground test — both A &amp; B)</t>
  </si>
  <si>
    <t xml:space="preserve">10 kg load cell + HX711 — axial (Z) thrust</t>
  </si>
  <si>
    <t xml:space="preserve">NOYITO B07CN1VDC4</t>
  </si>
  <si>
    <t xml:space="preserve">1 kg load cell + HX711 — lateral (X,Y) side-force</t>
  </si>
  <si>
    <t xml:space="preserve">NOYITO B07BGRDKG5</t>
  </si>
  <si>
    <t xml:space="preserve">Steel blast-deflector plate (~150×150×3 mm)</t>
  </si>
  <si>
    <t xml:space="preserve">mild steel</t>
  </si>
  <si>
    <t xml:space="preserve">DAQ — Arduino Nano (already in master BOM; reused here)</t>
  </si>
  <si>
    <t xml:space="preserve">—</t>
  </si>
  <si>
    <t xml:space="preserve">see BOM §1</t>
  </si>
  <si>
    <t xml:space="preserve">Have</t>
  </si>
  <si>
    <t xml:space="preserve">GSE &amp; TEST EQUIP TOTAL (fan = pick one; separate from vehicle BOM)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</si>
</sst>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\$#,##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8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0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2E5496"/>
      </patternFill>
    </fill>
    <fill>
      <patternFill patternType="solid">
        <fgColor rgb="FF2E5496"/>
        <bgColor rgb="FF1F3864"/>
      </patternFill>
    </fill>
    <fill>
      <patternFill patternType="solid">
        <fgColor rgb="FFBF9000"/>
        <bgColor rgb="FF808000"/>
      </patternFill>
    </fill>
    <fill>
      <patternFill patternType="solid">
        <fgColor rgb="FFD9E1F2"/>
        <bgColor rgb="FFCCFFFF"/>
      </patternFill>
    </fill>
    <fill>
      <patternFill patternType="solid">
        <fgColor rgb="FF375623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adafruit.com/product/5812" TargetMode="External"/><Relationship Id="rId2" Type="http://schemas.openxmlformats.org/officeDocument/2006/relationships/hyperlink" Target="https://www.adafruit.com/product/5815" TargetMode="External"/><Relationship Id="rId3" Type="http://schemas.openxmlformats.org/officeDocument/2006/relationships/hyperlink" Target="https://www.pjrc.com/store/teensy40.html" TargetMode="External"/><Relationship Id="rId4" Type="http://schemas.openxmlformats.org/officeDocument/2006/relationships/hyperlink" Target="https://www.adafruit.com/product/5657" TargetMode="External"/><Relationship Id="rId5" Type="http://schemas.openxmlformats.org/officeDocument/2006/relationships/hyperlink" Target="https://www.adafruit.com/product/5818" TargetMode="External"/><Relationship Id="rId6" Type="http://schemas.openxmlformats.org/officeDocument/2006/relationships/hyperlink" Target="https://www.adafruit.com/product/4754" TargetMode="External"/><Relationship Id="rId7" Type="http://schemas.openxmlformats.org/officeDocument/2006/relationships/hyperlink" Target="https://www.adafruit.com/product/4692" TargetMode="External"/><Relationship Id="rId8" Type="http://schemas.openxmlformats.org/officeDocument/2006/relationships/hyperlink" Target="https://www.adafruit.com/product/4488" TargetMode="External"/><Relationship Id="rId9" Type="http://schemas.openxmlformats.org/officeDocument/2006/relationships/hyperlink" Target="https://www.adafruit.com/product/2651" TargetMode="External"/><Relationship Id="rId10" Type="http://schemas.openxmlformats.org/officeDocument/2006/relationships/hyperlink" Target="https://www.adafruit.com/product/5046" TargetMode="External"/><Relationship Id="rId11" Type="http://schemas.openxmlformats.org/officeDocument/2006/relationships/hyperlink" Target="https://www.adafruit.com/product/4682" TargetMode="External"/><Relationship Id="rId12" Type="http://schemas.openxmlformats.org/officeDocument/2006/relationships/hyperlink" Target="https://www.amazon.com/dp/B08GY9NYRM" TargetMode="External"/><Relationship Id="rId13" Type="http://schemas.openxmlformats.org/officeDocument/2006/relationships/hyperlink" Target="https://www.adafruit.com/product/2717" TargetMode="External"/><Relationship Id="rId14" Type="http://schemas.openxmlformats.org/officeDocument/2006/relationships/hyperlink" Target="https://www.adafruit.com/product/2310" TargetMode="External"/><Relationship Id="rId15" Type="http://schemas.openxmlformats.org/officeDocument/2006/relationships/hyperlink" Target="https://www.adafruit.com/product/2223" TargetMode="External"/><Relationship Id="rId16" Type="http://schemas.openxmlformats.org/officeDocument/2006/relationships/hyperlink" Target="https://www.amazon.com/LAFVIN-Board-ATmega328P-Micro-Controller-Arduino/dp/B07G99NNXL" TargetMode="External"/><Relationship Id="rId17" Type="http://schemas.openxmlformats.org/officeDocument/2006/relationships/hyperlink" Target="https://www.amazon.com/Battery-Helicopter-Quadcopter-3S3000-30-XT60-EFLB30003S30/dp/B013TKVHPO" TargetMode="External"/><Relationship Id="rId18" Type="http://schemas.openxmlformats.org/officeDocument/2006/relationships/hyperlink" Target="https://www.amazon.com/Ruitutedianzi-Bidirectional-Charging-Buck-Boost-Interface/dp/B0DP6CGN33" TargetMode="External"/><Relationship Id="rId19" Type="http://schemas.openxmlformats.org/officeDocument/2006/relationships/hyperlink" Target="https://www.amazon.com/Converter-DROK-Regulator-Inverter-Transformer/dp/B01NALDSJ0" TargetMode="External"/><Relationship Id="rId20" Type="http://schemas.openxmlformats.org/officeDocument/2006/relationships/hyperlink" Target="https://www.amazon.com/Converter-DROK-Regulator-Transformer-Protection/dp/B07FL6PBZF" TargetMode="External"/><Relationship Id="rId21" Type="http://schemas.openxmlformats.org/officeDocument/2006/relationships/hyperlink" Target="https://www.adafruit.com/product/3218" TargetMode="External"/><Relationship Id="rId22" Type="http://schemas.openxmlformats.org/officeDocument/2006/relationships/hyperlink" Target="https://www.apogeerockets.com/index.php?cpath=&amp;main_page=product_info&amp;products_id=2048" TargetMode="External"/><Relationship Id="rId23" Type="http://schemas.openxmlformats.org/officeDocument/2006/relationships/hyperlink" Target="https://jollylogic.com/products/altimetertwo/" TargetMode="External"/><Relationship Id="rId24" Type="http://schemas.openxmlformats.org/officeDocument/2006/relationships/hyperlink" Target="https://estesrockets.com/products/rip-stop-parachute" TargetMode="External"/><Relationship Id="rId25" Type="http://schemas.openxmlformats.org/officeDocument/2006/relationships/hyperlink" Target="https://www.apogeerockets.com/Building-Supplies/Shock-Cord/Kevlar-Shock-Cord-4500-30-feet-long-2-loops" TargetMode="External"/><Relationship Id="rId26" Type="http://schemas.openxmlformats.org/officeDocument/2006/relationships/hyperlink" Target="https://www.apogeerockets.com/index.php?main_page=product_info&amp;products_id=2449" TargetMode="External"/><Relationship Id="rId27" Type="http://schemas.openxmlformats.org/officeDocument/2006/relationships/hyperlink" Target="https://www.apogeerockets.com/Ejection_Systems/Ejection_Canisters/Ejection_Canister_Caps_2_pk" TargetMode="External"/><Relationship Id="rId28" Type="http://schemas.openxmlformats.org/officeDocument/2006/relationships/hyperlink" Target="https://www.apogeerockets.com/Ejection_Systems" TargetMode="External"/><Relationship Id="rId29" Type="http://schemas.openxmlformats.org/officeDocument/2006/relationships/hyperlink" Target="https://www.amazon.com/dp/B0CTG4X882" TargetMode="External"/><Relationship Id="rId30" Type="http://schemas.openxmlformats.org/officeDocument/2006/relationships/hyperlink" Target="https://www.amazon.com/dp/B01I1J14MO" TargetMode="External"/><Relationship Id="rId31" Type="http://schemas.openxmlformats.org/officeDocument/2006/relationships/hyperlink" Target="https://www.amazon.com/dp/B0FC2CQF24" TargetMode="External"/><Relationship Id="rId32" Type="http://schemas.openxmlformats.org/officeDocument/2006/relationships/hyperlink" Target="https://www.amazon.com/dp/B093G7WYY9" TargetMode="External"/><Relationship Id="rId33" Type="http://schemas.openxmlformats.org/officeDocument/2006/relationships/hyperlink" Target="https://www.amazon.com/ANNIMOS-Waterproof-Torque-Digital-Steering/dp/B0BBB8DBRR" TargetMode="External"/><Relationship Id="rId34" Type="http://schemas.openxmlformats.org/officeDocument/2006/relationships/hyperlink" Target="https://www.adafruit.com/product/815" TargetMode="External"/><Relationship Id="rId35" Type="http://schemas.openxmlformats.org/officeDocument/2006/relationships/hyperlink" Target="https://www.mcmaster.com/" TargetMode="External"/><Relationship Id="rId36" Type="http://schemas.openxmlformats.org/officeDocument/2006/relationships/hyperlink" Target="https://www.apogeerockets.com/Rocket_Motors/AeroTech_Motors/29mm_Propellant_Kits/29_120_Motors/Aerotech_29mm_Propellant_Kit_G25W-10" TargetMode="External"/><Relationship Id="rId37" Type="http://schemas.openxmlformats.org/officeDocument/2006/relationships/hyperlink" Target="https://www.apogeerockets.com/Rocket_Motors/AeroTech_Motors/29mm_Propellant_Kits/29_40-120/Aerotech_Motor_F52T-8" TargetMode="External"/><Relationship Id="rId38" Type="http://schemas.openxmlformats.org/officeDocument/2006/relationships/hyperlink" Target="https://www.apogeerockets.com/Rocket_Motors/Rouse-Tech_Casings/29mm_Casings/RMS-29_40-120" TargetMode="External"/><Relationship Id="rId39" Type="http://schemas.openxmlformats.org/officeDocument/2006/relationships/hyperlink" Target="https://www.apogeerockets.com/index.php?main_page=product_info&amp;products_id=578" TargetMode="External"/><Relationship Id="rId40" Type="http://schemas.openxmlformats.org/officeDocument/2006/relationships/hyperlink" Target="https://estesrockets.com/products/e12-0-engines" TargetMode="External"/><Relationship Id="rId41" Type="http://schemas.openxmlformats.org/officeDocument/2006/relationships/hyperlink" Target="https://us.store.bambulab.com/products/petg-cf" TargetMode="External"/><Relationship Id="rId42" Type="http://schemas.openxmlformats.org/officeDocument/2006/relationships/hyperlink" Target="https://us.store.bambulab.com/products/asa-aero" TargetMode="External"/><Relationship Id="rId43" Type="http://schemas.openxmlformats.org/officeDocument/2006/relationships/hyperlink" Target="https://us.store.bambulab.com/products/pc-fr" TargetMode="External"/><Relationship Id="rId44" Type="http://schemas.openxmlformats.org/officeDocument/2006/relationships/hyperlink" Target="https://us.store.bambulab.com/products/pla-basic-filament" TargetMode="External"/><Relationship Id="rId45" Type="http://schemas.openxmlformats.org/officeDocument/2006/relationships/hyperlink" Target="https://www.adafruit.com/product/4209" TargetMode="External"/><Relationship Id="rId46" Type="http://schemas.openxmlformats.org/officeDocument/2006/relationships/hyperlink" Target="https://www.adafruit.com/product/4397" TargetMode="External"/><Relationship Id="rId47" Type="http://schemas.openxmlformats.org/officeDocument/2006/relationships/hyperlink" Target="https://www.amazon.com/dp/B07G2BWBX8" TargetMode="External"/><Relationship Id="rId48" Type="http://schemas.openxmlformats.org/officeDocument/2006/relationships/hyperlink" Target="https://www.amazon.com/dp/B0C1VDKPW2" TargetMode="External"/><Relationship Id="rId49" Type="http://schemas.openxmlformats.org/officeDocument/2006/relationships/hyperlink" Target="https://www.amazon.com/dp/B01MT921QT" TargetMode="External"/><Relationship Id="rId50" Type="http://schemas.openxmlformats.org/officeDocument/2006/relationships/hyperlink" Target="https://www.amazon.com/dp/B072Z92QZ2" TargetMode="External"/><Relationship Id="rId51" Type="http://schemas.openxmlformats.org/officeDocument/2006/relationships/hyperlink" Target="https://www.amazon.com/dp/B071H5XC7C" TargetMode="External"/><Relationship Id="rId52" Type="http://schemas.openxmlformats.org/officeDocument/2006/relationships/hyperlink" Target="https://www.amazon.com/dp/B07PHBTTGV" TargetMode="External"/><Relationship Id="rId53" Type="http://schemas.openxmlformats.org/officeDocument/2006/relationships/hyperlink" Target="https://www.amazon.com/dp/B000XBH9HI" TargetMode="External"/><Relationship Id="rId54" Type="http://schemas.openxmlformats.org/officeDocument/2006/relationships/hyperlink" Target="https://www.amazon.com/dp/B0B5VNG2YT" TargetMode="External"/><Relationship Id="rId55" Type="http://schemas.openxmlformats.org/officeDocument/2006/relationships/hyperlink" Target="https://www.amazon.com/NOYITO-10kg-20kg-HX711-Combo/dp/B07BGS58TL" TargetMode="External"/><Relationship Id="rId56" Type="http://schemas.openxmlformats.org/officeDocument/2006/relationships/hyperlink" Target="https://www.adafruit.com/product/3382" TargetMode="External"/><Relationship Id="rId57" Type="http://schemas.openxmlformats.org/officeDocument/2006/relationships/hyperlink" Target="https://www.mcmaster.com/" TargetMode="External"/><Relationship Id="rId58" Type="http://schemas.openxmlformats.org/officeDocument/2006/relationships/hyperlink" Target="https://estesrockets.com/products/pro-series-ii-launch-controller?variant=44470327574833" TargetMode="External"/><Relationship Id="rId59" Type="http://schemas.openxmlformats.org/officeDocument/2006/relationships/hyperlink" Target="https://www.amazon.com/80-20-1010-S-T-Slotted-Extrusion/dp/B01LWISXZL" TargetMode="External"/><Relationship Id="rId60" Type="http://schemas.openxmlformats.org/officeDocument/2006/relationships/hyperlink" Target="https://us.store.bambulab.com/products/pla-basic-filament" TargetMode="External"/><Relationship Id="rId61" Type="http://schemas.openxmlformats.org/officeDocument/2006/relationships/hyperlink" Target="https://www.amazon.com/Soldering-Iron-Kit-Temperature-Desoldering/dp/B07Q2B4ZY9" TargetMode="External"/><Relationship Id="rId62" Type="http://schemas.openxmlformats.org/officeDocument/2006/relationships/hyperlink" Target="https://www.amazon.com/AstroAI-Multimeter-Resistance-Transistors-Temperature/dp/B071JL6LLL" TargetMode="External"/><Relationship Id="rId63" Type="http://schemas.openxmlformats.org/officeDocument/2006/relationships/hyperlink" Target="https://www.amazon.com/SainSmart-Magnetic-Soldering-Magnifying-Flexible/dp/B09B73XL33" TargetMode="External"/><Relationship Id="rId64" Type="http://schemas.openxmlformats.org/officeDocument/2006/relationships/hyperlink" Target="https://www.amazon.com/iFixit-Pro-Tech-Toolkit-Electronics/dp/B01GF0KV6G" TargetMode="External"/><Relationship Id="rId65" Type="http://schemas.openxmlformats.org/officeDocument/2006/relationships/hyperlink" Target="https://www.amazon.com/Neiko-01407A-Electronic-Digital-Stainless/dp/B000GSLKIW" TargetMode="External"/><Relationship Id="rId66" Type="http://schemas.openxmlformats.org/officeDocument/2006/relationships/hyperlink" Target="https://www.amazon.com/dp/B08ZRT496D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adafruit.com/product/5812" TargetMode="External"/><Relationship Id="rId2" Type="http://schemas.openxmlformats.org/officeDocument/2006/relationships/hyperlink" Target="https://www.adafruit.com/product/5815" TargetMode="External"/><Relationship Id="rId3" Type="http://schemas.openxmlformats.org/officeDocument/2006/relationships/hyperlink" Target="https://www.pjrc.com/store/teensy40.html" TargetMode="External"/><Relationship Id="rId4" Type="http://schemas.openxmlformats.org/officeDocument/2006/relationships/hyperlink" Target="https://www.adafruit.com/product/5657" TargetMode="External"/><Relationship Id="rId5" Type="http://schemas.openxmlformats.org/officeDocument/2006/relationships/hyperlink" Target="https://www.adafruit.com/product/5818" TargetMode="External"/><Relationship Id="rId6" Type="http://schemas.openxmlformats.org/officeDocument/2006/relationships/hyperlink" Target="https://www.adafruit.com/product/4754" TargetMode="External"/><Relationship Id="rId7" Type="http://schemas.openxmlformats.org/officeDocument/2006/relationships/hyperlink" Target="https://www.adafruit.com/product/4692" TargetMode="External"/><Relationship Id="rId8" Type="http://schemas.openxmlformats.org/officeDocument/2006/relationships/hyperlink" Target="https://www.adafruit.com/product/4488" TargetMode="External"/><Relationship Id="rId9" Type="http://schemas.openxmlformats.org/officeDocument/2006/relationships/hyperlink" Target="https://www.adafruit.com/product/2651" TargetMode="External"/><Relationship Id="rId10" Type="http://schemas.openxmlformats.org/officeDocument/2006/relationships/hyperlink" Target="https://www.adafruit.com/product/5046" TargetMode="External"/><Relationship Id="rId11" Type="http://schemas.openxmlformats.org/officeDocument/2006/relationships/hyperlink" Target="https://www.adafruit.com/product/4682" TargetMode="External"/><Relationship Id="rId12" Type="http://schemas.openxmlformats.org/officeDocument/2006/relationships/hyperlink" Target="https://www.amazon.com/dp/B08GY9NYRM" TargetMode="External"/><Relationship Id="rId13" Type="http://schemas.openxmlformats.org/officeDocument/2006/relationships/hyperlink" Target="https://www.adafruit.com/product/2717" TargetMode="External"/><Relationship Id="rId14" Type="http://schemas.openxmlformats.org/officeDocument/2006/relationships/hyperlink" Target="https://www.adafruit.com/product/2310" TargetMode="External"/><Relationship Id="rId15" Type="http://schemas.openxmlformats.org/officeDocument/2006/relationships/hyperlink" Target="https://www.adafruit.com/product/2223" TargetMode="External"/><Relationship Id="rId16" Type="http://schemas.openxmlformats.org/officeDocument/2006/relationships/hyperlink" Target="https://www.amazon.com/LAFVIN-Board-ATmega328P-Micro-Controller-Arduino/dp/B07G99NNXL" TargetMode="External"/><Relationship Id="rId17" Type="http://schemas.openxmlformats.org/officeDocument/2006/relationships/hyperlink" Target="https://www.amazon.com/Battery-Helicopter-Quadcopter-3S3000-30-XT60-EFLB30003S30/dp/B013TKVHPO" TargetMode="External"/><Relationship Id="rId18" Type="http://schemas.openxmlformats.org/officeDocument/2006/relationships/hyperlink" Target="https://www.amazon.com/Ruitutedianzi-Bidirectional-Charging-Buck-Boost-Interface/dp/B0DP6CGN33" TargetMode="External"/><Relationship Id="rId19" Type="http://schemas.openxmlformats.org/officeDocument/2006/relationships/hyperlink" Target="https://www.amazon.com/Converter-DROK-Regulator-Inverter-Transformer/dp/B01NALDSJ0" TargetMode="External"/><Relationship Id="rId20" Type="http://schemas.openxmlformats.org/officeDocument/2006/relationships/hyperlink" Target="https://www.amazon.com/Converter-DROK-Regulator-Transformer-Protection/dp/B07FL6PBZF" TargetMode="External"/><Relationship Id="rId21" Type="http://schemas.openxmlformats.org/officeDocument/2006/relationships/hyperlink" Target="https://www.adafruit.com/product/3218" TargetMode="External"/><Relationship Id="rId22" Type="http://schemas.openxmlformats.org/officeDocument/2006/relationships/hyperlink" Target="https://www.apogeerockets.com/index.php?cpath=&amp;main_page=product_info&amp;products_id=2048" TargetMode="External"/><Relationship Id="rId23" Type="http://schemas.openxmlformats.org/officeDocument/2006/relationships/hyperlink" Target="https://jollylogic.com/products/altimetertwo/" TargetMode="External"/><Relationship Id="rId24" Type="http://schemas.openxmlformats.org/officeDocument/2006/relationships/hyperlink" Target="https://estesrockets.com/products/rip-stop-parachute" TargetMode="External"/><Relationship Id="rId25" Type="http://schemas.openxmlformats.org/officeDocument/2006/relationships/hyperlink" Target="https://www.apogeerockets.com/Building-Supplies/Shock-Cord/Kevlar-Shock-Cord-4500-30-feet-long-2-loops" TargetMode="External"/><Relationship Id="rId26" Type="http://schemas.openxmlformats.org/officeDocument/2006/relationships/hyperlink" Target="https://www.apogeerockets.com/index.php?main_page=product_info&amp;products_id=2449" TargetMode="External"/><Relationship Id="rId27" Type="http://schemas.openxmlformats.org/officeDocument/2006/relationships/hyperlink" Target="https://www.apogeerockets.com/Ejection_Systems/Ejection_Canisters/Ejection_Canister_Caps_2_pk" TargetMode="External"/><Relationship Id="rId28" Type="http://schemas.openxmlformats.org/officeDocument/2006/relationships/hyperlink" Target="https://www.apogeerockets.com/Ejection_Systems" TargetMode="External"/><Relationship Id="rId29" Type="http://schemas.openxmlformats.org/officeDocument/2006/relationships/hyperlink" Target="https://www.amazon.com/dp/B0CTG4X882" TargetMode="External"/><Relationship Id="rId30" Type="http://schemas.openxmlformats.org/officeDocument/2006/relationships/hyperlink" Target="https://www.amazon.com/dp/B01I1J14MO" TargetMode="External"/><Relationship Id="rId31" Type="http://schemas.openxmlformats.org/officeDocument/2006/relationships/hyperlink" Target="https://www.amazon.com/dp/B0FC2CQF24" TargetMode="External"/><Relationship Id="rId32" Type="http://schemas.openxmlformats.org/officeDocument/2006/relationships/hyperlink" Target="https://www.amazon.com/dp/B093G7WYY9" TargetMode="External"/><Relationship Id="rId33" Type="http://schemas.openxmlformats.org/officeDocument/2006/relationships/hyperlink" Target="https://www.amazon.com/ANNIMOS-Waterproof-Torque-Digital-Steering/dp/B0BBB8DBRR" TargetMode="External"/><Relationship Id="rId34" Type="http://schemas.openxmlformats.org/officeDocument/2006/relationships/hyperlink" Target="https://www.adafruit.com/product/815" TargetMode="External"/><Relationship Id="rId35" Type="http://schemas.openxmlformats.org/officeDocument/2006/relationships/hyperlink" Target="https://www.mcmaster.com/" TargetMode="External"/><Relationship Id="rId36" Type="http://schemas.openxmlformats.org/officeDocument/2006/relationships/hyperlink" Target="https://www.apogeerockets.com/Rocket_Motors/AeroTech_Motors/29mm_Propellant_Kits/29_120_Motors/Aerotech_29mm_Propellant_Kit_G25W-10" TargetMode="External"/><Relationship Id="rId37" Type="http://schemas.openxmlformats.org/officeDocument/2006/relationships/hyperlink" Target="https://www.apogeerockets.com/Rocket_Motors/AeroTech_Motors/29mm_Propellant_Kits/29_40-120/Aerotech_Motor_F52T-8" TargetMode="External"/><Relationship Id="rId38" Type="http://schemas.openxmlformats.org/officeDocument/2006/relationships/hyperlink" Target="https://www.apogeerockets.com/Rocket_Motors/Rouse-Tech_Casings/29mm_Casings/RMS-29_40-120" TargetMode="External"/><Relationship Id="rId39" Type="http://schemas.openxmlformats.org/officeDocument/2006/relationships/hyperlink" Target="https://www.apogeerockets.com/index.php?main_page=product_info&amp;products_id=578" TargetMode="External"/><Relationship Id="rId40" Type="http://schemas.openxmlformats.org/officeDocument/2006/relationships/hyperlink" Target="https://estesrockets.com/products/e12-0-engines" TargetMode="External"/><Relationship Id="rId41" Type="http://schemas.openxmlformats.org/officeDocument/2006/relationships/hyperlink" Target="https://us.store.bambulab.com/products/petg-cf" TargetMode="External"/><Relationship Id="rId42" Type="http://schemas.openxmlformats.org/officeDocument/2006/relationships/hyperlink" Target="https://us.store.bambulab.com/products/asa-aero" TargetMode="External"/><Relationship Id="rId43" Type="http://schemas.openxmlformats.org/officeDocument/2006/relationships/hyperlink" Target="https://us.store.bambulab.com/products/pc-fr" TargetMode="External"/><Relationship Id="rId44" Type="http://schemas.openxmlformats.org/officeDocument/2006/relationships/hyperlink" Target="https://us.store.bambulab.com/products/pla-basic-filament" TargetMode="External"/><Relationship Id="rId45" Type="http://schemas.openxmlformats.org/officeDocument/2006/relationships/hyperlink" Target="https://www.adafruit.com/product/4209" TargetMode="External"/><Relationship Id="rId46" Type="http://schemas.openxmlformats.org/officeDocument/2006/relationships/hyperlink" Target="https://www.adafruit.com/product/4397" TargetMode="External"/><Relationship Id="rId47" Type="http://schemas.openxmlformats.org/officeDocument/2006/relationships/hyperlink" Target="https://www.amazon.com/dp/B07G2BWBX8" TargetMode="External"/><Relationship Id="rId48" Type="http://schemas.openxmlformats.org/officeDocument/2006/relationships/hyperlink" Target="https://www.amazon.com/dp/B0C1VDKPW2" TargetMode="External"/><Relationship Id="rId49" Type="http://schemas.openxmlformats.org/officeDocument/2006/relationships/hyperlink" Target="https://www.amazon.com/dp/B01MT921QT" TargetMode="External"/><Relationship Id="rId50" Type="http://schemas.openxmlformats.org/officeDocument/2006/relationships/hyperlink" Target="https://www.amazon.com/dp/B072Z92QZ2" TargetMode="External"/><Relationship Id="rId51" Type="http://schemas.openxmlformats.org/officeDocument/2006/relationships/hyperlink" Target="https://www.amazon.com/dp/B071H5XC7C" TargetMode="External"/><Relationship Id="rId52" Type="http://schemas.openxmlformats.org/officeDocument/2006/relationships/hyperlink" Target="https://www.amazon.com/dp/B07PHBTTGV" TargetMode="External"/><Relationship Id="rId53" Type="http://schemas.openxmlformats.org/officeDocument/2006/relationships/hyperlink" Target="https://www.amazon.com/dp/B000XBH9HI" TargetMode="External"/><Relationship Id="rId54" Type="http://schemas.openxmlformats.org/officeDocument/2006/relationships/hyperlink" Target="https://www.amazon.com/dp/B0B5VNG2YT" TargetMode="External"/><Relationship Id="rId55" Type="http://schemas.openxmlformats.org/officeDocument/2006/relationships/hyperlink" Target="https://www.amazon.com/NOYITO-10kg-20kg-HX711-Combo/dp/B07BGS58TL" TargetMode="External"/><Relationship Id="rId56" Type="http://schemas.openxmlformats.org/officeDocument/2006/relationships/hyperlink" Target="https://www.adafruit.com/product/3382" TargetMode="External"/><Relationship Id="rId57" Type="http://schemas.openxmlformats.org/officeDocument/2006/relationships/hyperlink" Target="https://www.mcmaster.com/" TargetMode="External"/><Relationship Id="rId58" Type="http://schemas.openxmlformats.org/officeDocument/2006/relationships/hyperlink" Target="https://estesrockets.com/products/pro-series-ii-launch-controller?variant=44470327574833" TargetMode="External"/><Relationship Id="rId59" Type="http://schemas.openxmlformats.org/officeDocument/2006/relationships/hyperlink" Target="https://www.amazon.com/80-20-1010-S-T-Slotted-Extrusion/dp/B01LWISXZL" TargetMode="External"/><Relationship Id="rId60" Type="http://schemas.openxmlformats.org/officeDocument/2006/relationships/hyperlink" Target="https://us.store.bambulab.com/products/pla-basic-filament" TargetMode="External"/><Relationship Id="rId61" Type="http://schemas.openxmlformats.org/officeDocument/2006/relationships/hyperlink" Target="https://www.amazon.com/Soldering-Iron-Kit-Temperature-Desoldering/dp/B07Q2B4ZY9" TargetMode="External"/><Relationship Id="rId62" Type="http://schemas.openxmlformats.org/officeDocument/2006/relationships/hyperlink" Target="https://www.amazon.com/AstroAI-Multimeter-Resistance-Transistors-Temperature/dp/B071JL6LLL" TargetMode="External"/><Relationship Id="rId63" Type="http://schemas.openxmlformats.org/officeDocument/2006/relationships/hyperlink" Target="https://www.amazon.com/SainSmart-Magnetic-Soldering-Magnifying-Flexible/dp/B09B73XL33" TargetMode="External"/><Relationship Id="rId64" Type="http://schemas.openxmlformats.org/officeDocument/2006/relationships/hyperlink" Target="https://www.amazon.com/iFixit-Pro-Tech-Toolkit-Electronics/dp/B01GF0KV6G" TargetMode="External"/><Relationship Id="rId65" Type="http://schemas.openxmlformats.org/officeDocument/2006/relationships/hyperlink" Target="https://www.amazon.com/Neiko-01407A-Electronic-Digital-Stainless/dp/B000GSLKIW" TargetMode="External"/><Relationship Id="rId66" Type="http://schemas.openxmlformats.org/officeDocument/2006/relationships/hyperlink" Target="https://www.amazon.com/dp/B08ZRT496D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amzn.to/3xY8jpH" TargetMode="External"/><Relationship Id="rId2" Type="http://schemas.openxmlformats.org/officeDocument/2006/relationships/hyperlink" Target="https://amzn.to/4crTn1U" TargetMode="External"/><Relationship Id="rId3" Type="http://schemas.openxmlformats.org/officeDocument/2006/relationships/hyperlink" Target="https://www.amazon.com/Delta-PFB1212UHE-F00-120mm-Insane-Speed/dp/B0036WG1ES" TargetMode="External"/><Relationship Id="rId4" Type="http://schemas.openxmlformats.org/officeDocument/2006/relationships/hyperlink" Target="https://www.amazon.com/Bringsmart-Electric-Transformer-Voltage-Changer/dp/B07F8PTQSY" TargetMode="External"/><Relationship Id="rId5" Type="http://schemas.openxmlformats.org/officeDocument/2006/relationships/hyperlink" Target="https://www.amazon.com/RioRand-Controller-Efficiency-Generating-Protection/dp/B007TH4EN6" TargetMode="External"/><Relationship Id="rId6" Type="http://schemas.openxmlformats.org/officeDocument/2006/relationships/hyperlink" Target="https://www.amazon.com/Woven-Wire-Mesh-Stainless-Steel/dp/B074XFJWWV" TargetMode="External"/><Relationship Id="rId7" Type="http://schemas.openxmlformats.org/officeDocument/2006/relationships/hyperlink" Target="https://www.amazon.com/Woven-Wire-Mesh-Stainless-Steel/dp/B074XGBD45" TargetMode="External"/><Relationship Id="rId8" Type="http://schemas.openxmlformats.org/officeDocument/2006/relationships/hyperlink" Target="https://www.amazon.com/Hanglife-HANGLIFE-Heat-Set-Threaded-Inserts/dp/B0CTGVDLKH" TargetMode="External"/><Relationship Id="rId9" Type="http://schemas.openxmlformats.org/officeDocument/2006/relationships/hyperlink" Target="https://www.amazon.com/kkhouse-Circular-Magnets-Neodymium-Permanent/dp/B096RFNYD9" TargetMode="External"/><Relationship Id="rId10" Type="http://schemas.openxmlformats.org/officeDocument/2006/relationships/hyperlink" Target="https://amzn.to/4d6csrS" TargetMode="External"/><Relationship Id="rId11" Type="http://schemas.openxmlformats.org/officeDocument/2006/relationships/hyperlink" Target="https://amzn.to/4druNzB" TargetMode="External"/><Relationship Id="rId12" Type="http://schemas.openxmlformats.org/officeDocument/2006/relationships/hyperlink" Target="https://cart.sendcutsend.com/si371b8h9zom" TargetMode="External"/><Relationship Id="rId13" Type="http://schemas.openxmlformats.org/officeDocument/2006/relationships/hyperlink" Target="https://amzn.to/4aGX5Vc" TargetMode="External"/><Relationship Id="rId14" Type="http://schemas.openxmlformats.org/officeDocument/2006/relationships/hyperlink" Target="https://www.amazon.com/Loc-Line-LP-40413-Line-Coolant-Hose/dp/B002QG4F8Y" TargetMode="External"/><Relationship Id="rId15" Type="http://schemas.openxmlformats.org/officeDocument/2006/relationships/hyperlink" Target="https://amzn.to/3U3CdAl" TargetMode="External"/><Relationship Id="rId16" Type="http://schemas.openxmlformats.org/officeDocument/2006/relationships/hyperlink" Target="https://www.amazon.com/OXLasers-Adjustable-Crosshair-Generator-Positioning/dp/B0BY15NCY8" TargetMode="External"/><Relationship Id="rId17" Type="http://schemas.openxmlformats.org/officeDocument/2006/relationships/hyperlink" Target="https://amzn.to/443XZbL" TargetMode="External"/><Relationship Id="rId18" Type="http://schemas.openxmlformats.org/officeDocument/2006/relationships/hyperlink" Target="https://www.printables.com/model/849713-modular-wind-tunnel-for-stem-education" TargetMode="External"/><Relationship Id="rId19" Type="http://schemas.openxmlformats.org/officeDocument/2006/relationships/hyperlink" Target="https://www.amazon.com/NOYITO-10kg-20kg-HX711-Combo/dp/B07CN1VDC4" TargetMode="External"/><Relationship Id="rId20" Type="http://schemas.openxmlformats.org/officeDocument/2006/relationships/hyperlink" Target="https://www.amazon.com/NOYITO-10kg-20kg-HX711-Combo/dp/B07BGRDKG5" TargetMode="External"/><Relationship Id="rId21" Type="http://schemas.openxmlformats.org/officeDocument/2006/relationships/hyperlink" Target="https://www.mcmaster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5"/>
    <col collapsed="false" customWidth="true" hidden="false" outlineLevel="0" max="3" min="3" style="0" width="24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7"/>
    <col collapsed="false" customWidth="true" hidden="false" outlineLevel="0" max="7" min="7" style="0" width="10"/>
    <col collapsed="false" customWidth="true" hidden="false" outlineLevel="0" max="8" min="8" style="0" width="11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5" t="s">
        <v>7</v>
      </c>
      <c r="F5" s="5" t="s">
        <v>8</v>
      </c>
      <c r="G5" s="5" t="s">
        <v>9</v>
      </c>
      <c r="H5" s="5" t="s">
        <v>10</v>
      </c>
    </row>
    <row r="6" customFormat="false" ht="15" hidden="false" customHeight="false" outlineLevel="0" collapsed="false">
      <c r="A6" s="6" t="s">
        <v>11</v>
      </c>
      <c r="B6" s="7" t="s">
        <v>12</v>
      </c>
      <c r="C6" s="8" t="s">
        <v>13</v>
      </c>
      <c r="D6" s="9" t="s">
        <v>14</v>
      </c>
      <c r="E6" s="7" t="s">
        <v>15</v>
      </c>
      <c r="F6" s="7" t="n">
        <v>1</v>
      </c>
      <c r="G6" s="10" t="n">
        <v>130</v>
      </c>
      <c r="H6" s="10" t="n">
        <f aca="false">F6*G6</f>
        <v>130</v>
      </c>
    </row>
    <row r="7" customFormat="false" ht="15" hidden="false" customHeight="false" outlineLevel="0" collapsed="false">
      <c r="A7" s="6" t="s">
        <v>16</v>
      </c>
      <c r="B7" s="7" t="s">
        <v>12</v>
      </c>
      <c r="C7" s="8" t="s">
        <v>17</v>
      </c>
      <c r="D7" s="9" t="s">
        <v>14</v>
      </c>
      <c r="E7" s="7" t="s">
        <v>15</v>
      </c>
      <c r="F7" s="7" t="n">
        <v>1</v>
      </c>
      <c r="G7" s="10" t="n">
        <v>13.5</v>
      </c>
      <c r="H7" s="10" t="n">
        <f aca="false">F7*G7</f>
        <v>13.5</v>
      </c>
    </row>
    <row r="8" customFormat="false" ht="15" hidden="false" customHeight="false" outlineLevel="0" collapsed="false">
      <c r="A8" s="6" t="s">
        <v>18</v>
      </c>
      <c r="B8" s="7" t="s">
        <v>19</v>
      </c>
      <c r="C8" s="8" t="s">
        <v>20</v>
      </c>
      <c r="D8" s="9" t="s">
        <v>14</v>
      </c>
      <c r="E8" s="7" t="s">
        <v>15</v>
      </c>
      <c r="F8" s="7" t="n">
        <v>1</v>
      </c>
      <c r="G8" s="10" t="n">
        <v>19.95</v>
      </c>
      <c r="H8" s="10" t="n">
        <f aca="false">F8*G8</f>
        <v>19.95</v>
      </c>
    </row>
    <row r="9" customFormat="false" ht="15" hidden="false" customHeight="false" outlineLevel="0" collapsed="false">
      <c r="A9" s="6" t="s">
        <v>21</v>
      </c>
      <c r="B9" s="7" t="s">
        <v>12</v>
      </c>
      <c r="C9" s="8" t="s">
        <v>22</v>
      </c>
      <c r="D9" s="9" t="s">
        <v>14</v>
      </c>
      <c r="E9" s="7" t="s">
        <v>15</v>
      </c>
      <c r="F9" s="7" t="n">
        <v>1</v>
      </c>
      <c r="G9" s="10" t="n">
        <v>29.25</v>
      </c>
      <c r="H9" s="10" t="n">
        <f aca="false">F9*G9</f>
        <v>29.25</v>
      </c>
    </row>
    <row r="10" customFormat="false" ht="15" hidden="false" customHeight="false" outlineLevel="0" collapsed="false">
      <c r="A10" s="6" t="s">
        <v>23</v>
      </c>
      <c r="B10" s="7" t="s">
        <v>12</v>
      </c>
      <c r="C10" s="8" t="s">
        <v>24</v>
      </c>
      <c r="D10" s="9" t="s">
        <v>14</v>
      </c>
      <c r="E10" s="7" t="s">
        <v>15</v>
      </c>
      <c r="F10" s="7" t="n">
        <v>1</v>
      </c>
      <c r="G10" s="10" t="n">
        <v>2.7</v>
      </c>
      <c r="H10" s="10" t="n">
        <f aca="false">F10*G10</f>
        <v>2.7</v>
      </c>
    </row>
    <row r="11" customFormat="false" ht="15" hidden="false" customHeight="false" outlineLevel="0" collapsed="false">
      <c r="A11" s="6" t="s">
        <v>25</v>
      </c>
      <c r="B11" s="7" t="s">
        <v>12</v>
      </c>
      <c r="C11" s="8" t="s">
        <v>26</v>
      </c>
      <c r="D11" s="9" t="s">
        <v>14</v>
      </c>
      <c r="E11" s="7" t="s">
        <v>15</v>
      </c>
      <c r="F11" s="7" t="n">
        <v>3</v>
      </c>
      <c r="G11" s="10" t="n">
        <v>24.95</v>
      </c>
      <c r="H11" s="10" t="n">
        <f aca="false">F11*G11</f>
        <v>74.85</v>
      </c>
    </row>
    <row r="12" customFormat="false" ht="15" hidden="false" customHeight="false" outlineLevel="0" collapsed="false">
      <c r="A12" s="6" t="s">
        <v>27</v>
      </c>
      <c r="B12" s="7" t="s">
        <v>12</v>
      </c>
      <c r="C12" s="8" t="s">
        <v>28</v>
      </c>
      <c r="D12" s="9" t="s">
        <v>14</v>
      </c>
      <c r="E12" s="7" t="s">
        <v>15</v>
      </c>
      <c r="F12" s="7" t="n">
        <v>1</v>
      </c>
      <c r="G12" s="10" t="n">
        <v>11.95</v>
      </c>
      <c r="H12" s="10" t="n">
        <f aca="false">F12*G12</f>
        <v>11.95</v>
      </c>
    </row>
    <row r="13" customFormat="false" ht="15" hidden="false" customHeight="false" outlineLevel="0" collapsed="false">
      <c r="A13" s="6" t="s">
        <v>29</v>
      </c>
      <c r="B13" s="7" t="s">
        <v>12</v>
      </c>
      <c r="C13" s="8" t="s">
        <v>30</v>
      </c>
      <c r="D13" s="9" t="s">
        <v>14</v>
      </c>
      <c r="E13" s="7" t="s">
        <v>15</v>
      </c>
      <c r="F13" s="7" t="n">
        <v>1</v>
      </c>
      <c r="G13" s="10" t="n">
        <v>4.95</v>
      </c>
      <c r="H13" s="10" t="n">
        <f aca="false">F13*G13</f>
        <v>4.95</v>
      </c>
    </row>
    <row r="14" customFormat="false" ht="15" hidden="false" customHeight="false" outlineLevel="0" collapsed="false">
      <c r="A14" s="6" t="s">
        <v>31</v>
      </c>
      <c r="B14" s="7" t="s">
        <v>12</v>
      </c>
      <c r="C14" s="8" t="s">
        <v>32</v>
      </c>
      <c r="D14" s="9" t="s">
        <v>14</v>
      </c>
      <c r="E14" s="7" t="s">
        <v>15</v>
      </c>
      <c r="F14" s="7" t="n">
        <v>1</v>
      </c>
      <c r="G14" s="10" t="n">
        <v>9.95</v>
      </c>
      <c r="H14" s="10" t="n">
        <f aca="false">F14*G14</f>
        <v>9.95</v>
      </c>
    </row>
    <row r="15" customFormat="false" ht="15" hidden="false" customHeight="false" outlineLevel="0" collapsed="false">
      <c r="A15" s="6" t="s">
        <v>33</v>
      </c>
      <c r="B15" s="7" t="s">
        <v>12</v>
      </c>
      <c r="C15" s="8" t="s">
        <v>34</v>
      </c>
      <c r="D15" s="9" t="s">
        <v>14</v>
      </c>
      <c r="E15" s="7" t="s">
        <v>15</v>
      </c>
      <c r="F15" s="7" t="n">
        <v>1</v>
      </c>
      <c r="G15" s="10" t="n">
        <v>22.5</v>
      </c>
      <c r="H15" s="10" t="n">
        <f aca="false">F15*G15</f>
        <v>22.5</v>
      </c>
    </row>
    <row r="16" customFormat="false" ht="15" hidden="false" customHeight="false" outlineLevel="0" collapsed="false">
      <c r="A16" s="6" t="s">
        <v>35</v>
      </c>
      <c r="B16" s="7" t="s">
        <v>12</v>
      </c>
      <c r="C16" s="8" t="s">
        <v>36</v>
      </c>
      <c r="D16" s="9" t="s">
        <v>14</v>
      </c>
      <c r="E16" s="7" t="s">
        <v>15</v>
      </c>
      <c r="F16" s="7" t="n">
        <v>2</v>
      </c>
      <c r="G16" s="10" t="n">
        <v>3.95</v>
      </c>
      <c r="H16" s="10" t="n">
        <f aca="false">F16*G16</f>
        <v>7.9</v>
      </c>
    </row>
    <row r="17" customFormat="false" ht="15" hidden="false" customHeight="false" outlineLevel="0" collapsed="false">
      <c r="A17" s="6" t="s">
        <v>37</v>
      </c>
      <c r="B17" s="7" t="s">
        <v>38</v>
      </c>
      <c r="C17" s="8" t="s">
        <v>39</v>
      </c>
      <c r="D17" s="9" t="s">
        <v>14</v>
      </c>
      <c r="E17" s="7" t="s">
        <v>15</v>
      </c>
      <c r="F17" s="7" t="n">
        <v>3</v>
      </c>
      <c r="G17" s="10" t="n">
        <v>9</v>
      </c>
      <c r="H17" s="10" t="n">
        <f aca="false">F17*G17</f>
        <v>27</v>
      </c>
    </row>
    <row r="18" customFormat="false" ht="15" hidden="false" customHeight="false" outlineLevel="0" collapsed="false">
      <c r="A18" s="6" t="s">
        <v>40</v>
      </c>
      <c r="B18" s="7" t="s">
        <v>12</v>
      </c>
      <c r="C18" s="8" t="s">
        <v>41</v>
      </c>
      <c r="D18" s="9" t="s">
        <v>14</v>
      </c>
      <c r="E18" s="7" t="s">
        <v>15</v>
      </c>
      <c r="F18" s="7" t="n">
        <v>1</v>
      </c>
      <c r="G18" s="10" t="n">
        <v>6.95</v>
      </c>
      <c r="H18" s="10" t="n">
        <f aca="false">F18*G18</f>
        <v>6.95</v>
      </c>
    </row>
    <row r="19" customFormat="false" ht="15" hidden="false" customHeight="false" outlineLevel="0" collapsed="false">
      <c r="A19" s="6" t="s">
        <v>42</v>
      </c>
      <c r="B19" s="7" t="s">
        <v>12</v>
      </c>
      <c r="C19" s="8" t="s">
        <v>43</v>
      </c>
      <c r="D19" s="9" t="s">
        <v>14</v>
      </c>
      <c r="E19" s="7" t="s">
        <v>15</v>
      </c>
      <c r="F19" s="7" t="n">
        <v>1</v>
      </c>
      <c r="G19" s="10" t="n">
        <v>18</v>
      </c>
      <c r="H19" s="10" t="n">
        <f aca="false">F19*G19</f>
        <v>18</v>
      </c>
    </row>
    <row r="20" customFormat="false" ht="15" hidden="false" customHeight="false" outlineLevel="0" collapsed="false">
      <c r="A20" s="6" t="s">
        <v>44</v>
      </c>
      <c r="B20" s="7" t="s">
        <v>12</v>
      </c>
      <c r="C20" s="8" t="s">
        <v>45</v>
      </c>
      <c r="D20" s="9" t="s">
        <v>14</v>
      </c>
      <c r="E20" s="7" t="s">
        <v>15</v>
      </c>
      <c r="F20" s="7" t="n">
        <v>1</v>
      </c>
      <c r="G20" s="10" t="n">
        <v>2.95</v>
      </c>
      <c r="H20" s="10" t="n">
        <f aca="false">F20*G20</f>
        <v>2.95</v>
      </c>
    </row>
    <row r="21" customFormat="false" ht="15" hidden="false" customHeight="false" outlineLevel="0" collapsed="false">
      <c r="A21" s="6" t="s">
        <v>46</v>
      </c>
      <c r="B21" s="7" t="s">
        <v>38</v>
      </c>
      <c r="C21" s="8" t="s">
        <v>47</v>
      </c>
      <c r="D21" s="9" t="s">
        <v>14</v>
      </c>
      <c r="E21" s="7" t="s">
        <v>15</v>
      </c>
      <c r="F21" s="7" t="n">
        <v>1</v>
      </c>
      <c r="G21" s="10" t="n">
        <v>15.99</v>
      </c>
      <c r="H21" s="10" t="n">
        <f aca="false">F21*G21</f>
        <v>15.99</v>
      </c>
    </row>
    <row r="22" customFormat="false" ht="15" hidden="false" customHeight="false" outlineLevel="0" collapsed="false">
      <c r="A22" s="11" t="s">
        <v>48</v>
      </c>
      <c r="B22" s="12"/>
      <c r="C22" s="12"/>
      <c r="D22" s="12"/>
      <c r="E22" s="12"/>
      <c r="F22" s="12"/>
      <c r="G22" s="12"/>
      <c r="H22" s="13" t="n">
        <f aca="false">SUM(H6:H21)</f>
        <v>398.39</v>
      </c>
    </row>
    <row r="24" customFormat="false" ht="15" hidden="false" customHeight="true" outlineLevel="0" collapsed="false">
      <c r="A24" s="3" t="s">
        <v>49</v>
      </c>
      <c r="B24" s="3"/>
      <c r="C24" s="3"/>
      <c r="D24" s="3"/>
      <c r="E24" s="3"/>
      <c r="F24" s="3"/>
      <c r="G24" s="3"/>
      <c r="H24" s="3"/>
    </row>
    <row r="25" customFormat="false" ht="15" hidden="false" customHeight="false" outlineLevel="0" collapsed="false">
      <c r="A25" s="4" t="s">
        <v>3</v>
      </c>
      <c r="B25" s="4" t="s">
        <v>4</v>
      </c>
      <c r="C25" s="4" t="s">
        <v>5</v>
      </c>
      <c r="D25" s="4" t="s">
        <v>6</v>
      </c>
      <c r="E25" s="5" t="s">
        <v>7</v>
      </c>
      <c r="F25" s="5" t="s">
        <v>8</v>
      </c>
      <c r="G25" s="5" t="s">
        <v>9</v>
      </c>
      <c r="H25" s="5" t="s">
        <v>10</v>
      </c>
    </row>
    <row r="26" customFormat="false" ht="15" hidden="false" customHeight="false" outlineLevel="0" collapsed="false">
      <c r="A26" s="6" t="s">
        <v>50</v>
      </c>
      <c r="B26" s="7" t="s">
        <v>38</v>
      </c>
      <c r="C26" s="8" t="s">
        <v>51</v>
      </c>
      <c r="D26" s="9" t="s">
        <v>14</v>
      </c>
      <c r="E26" s="7" t="s">
        <v>15</v>
      </c>
      <c r="F26" s="7" t="n">
        <v>1</v>
      </c>
      <c r="G26" s="10" t="n">
        <v>33.99</v>
      </c>
      <c r="H26" s="10" t="n">
        <f aca="false">F26*G26</f>
        <v>33.99</v>
      </c>
    </row>
    <row r="27" customFormat="false" ht="15" hidden="false" customHeight="false" outlineLevel="0" collapsed="false">
      <c r="A27" s="6" t="s">
        <v>52</v>
      </c>
      <c r="B27" s="7" t="s">
        <v>38</v>
      </c>
      <c r="C27" s="8" t="s">
        <v>53</v>
      </c>
      <c r="D27" s="9" t="s">
        <v>14</v>
      </c>
      <c r="E27" s="7" t="s">
        <v>15</v>
      </c>
      <c r="F27" s="7" t="n">
        <v>1</v>
      </c>
      <c r="G27" s="10" t="n">
        <v>16</v>
      </c>
      <c r="H27" s="10" t="n">
        <f aca="false">F27*G27</f>
        <v>16</v>
      </c>
    </row>
    <row r="28" customFormat="false" ht="15" hidden="false" customHeight="false" outlineLevel="0" collapsed="false">
      <c r="A28" s="6" t="s">
        <v>54</v>
      </c>
      <c r="B28" s="7" t="s">
        <v>38</v>
      </c>
      <c r="C28" s="8" t="s">
        <v>55</v>
      </c>
      <c r="D28" s="9" t="s">
        <v>14</v>
      </c>
      <c r="E28" s="7" t="s">
        <v>15</v>
      </c>
      <c r="F28" s="7" t="n">
        <v>1</v>
      </c>
      <c r="G28" s="10" t="n">
        <v>10.99</v>
      </c>
      <c r="H28" s="10" t="n">
        <f aca="false">F28*G28</f>
        <v>10.99</v>
      </c>
    </row>
    <row r="29" customFormat="false" ht="15" hidden="false" customHeight="false" outlineLevel="0" collapsed="false">
      <c r="A29" s="6" t="s">
        <v>56</v>
      </c>
      <c r="B29" s="7" t="s">
        <v>38</v>
      </c>
      <c r="C29" s="8" t="s">
        <v>57</v>
      </c>
      <c r="D29" s="9" t="s">
        <v>14</v>
      </c>
      <c r="E29" s="7" t="s">
        <v>15</v>
      </c>
      <c r="F29" s="7" t="n">
        <v>1</v>
      </c>
      <c r="G29" s="10" t="n">
        <v>13.99</v>
      </c>
      <c r="H29" s="10" t="n">
        <f aca="false">F29*G29</f>
        <v>13.99</v>
      </c>
    </row>
    <row r="30" customFormat="false" ht="15" hidden="false" customHeight="false" outlineLevel="0" collapsed="false">
      <c r="A30" s="6" t="s">
        <v>58</v>
      </c>
      <c r="B30" s="7" t="s">
        <v>12</v>
      </c>
      <c r="C30" s="8" t="s">
        <v>59</v>
      </c>
      <c r="D30" s="9" t="s">
        <v>14</v>
      </c>
      <c r="E30" s="7" t="s">
        <v>15</v>
      </c>
      <c r="F30" s="7" t="n">
        <v>1</v>
      </c>
      <c r="G30" s="10" t="n">
        <v>8</v>
      </c>
      <c r="H30" s="10" t="n">
        <f aca="false">F30*G30</f>
        <v>8</v>
      </c>
    </row>
    <row r="31" customFormat="false" ht="15" hidden="false" customHeight="false" outlineLevel="0" collapsed="false">
      <c r="A31" s="11" t="s">
        <v>48</v>
      </c>
      <c r="B31" s="12"/>
      <c r="C31" s="12"/>
      <c r="D31" s="12"/>
      <c r="E31" s="12"/>
      <c r="F31" s="12"/>
      <c r="G31" s="12"/>
      <c r="H31" s="13" t="n">
        <f aca="false">SUM(H26:H30)</f>
        <v>82.97</v>
      </c>
    </row>
    <row r="33" customFormat="false" ht="15" hidden="false" customHeight="true" outlineLevel="0" collapsed="false">
      <c r="A33" s="3" t="s">
        <v>60</v>
      </c>
      <c r="B33" s="3"/>
      <c r="C33" s="3"/>
      <c r="D33" s="3"/>
      <c r="E33" s="3"/>
      <c r="F33" s="3"/>
      <c r="G33" s="3"/>
      <c r="H33" s="3"/>
    </row>
    <row r="34" customFormat="false" ht="15" hidden="false" customHeight="false" outlineLevel="0" collapsed="false">
      <c r="A34" s="4" t="s">
        <v>3</v>
      </c>
      <c r="B34" s="4" t="s">
        <v>4</v>
      </c>
      <c r="C34" s="4" t="s">
        <v>5</v>
      </c>
      <c r="D34" s="4" t="s">
        <v>6</v>
      </c>
      <c r="E34" s="5" t="s">
        <v>7</v>
      </c>
      <c r="F34" s="5" t="s">
        <v>8</v>
      </c>
      <c r="G34" s="5" t="s">
        <v>9</v>
      </c>
      <c r="H34" s="5" t="s">
        <v>10</v>
      </c>
    </row>
    <row r="35" customFormat="false" ht="15" hidden="false" customHeight="false" outlineLevel="0" collapsed="false">
      <c r="A35" s="6" t="s">
        <v>61</v>
      </c>
      <c r="B35" s="7" t="s">
        <v>62</v>
      </c>
      <c r="C35" s="8" t="s">
        <v>63</v>
      </c>
      <c r="D35" s="9" t="s">
        <v>14</v>
      </c>
      <c r="E35" s="7" t="s">
        <v>15</v>
      </c>
      <c r="F35" s="7" t="n">
        <v>1</v>
      </c>
      <c r="G35" s="10" t="n">
        <v>79.95</v>
      </c>
      <c r="H35" s="10" t="n">
        <f aca="false">F35*G35</f>
        <v>79.95</v>
      </c>
    </row>
    <row r="36" customFormat="false" ht="15" hidden="false" customHeight="false" outlineLevel="0" collapsed="false">
      <c r="A36" s="6" t="s">
        <v>64</v>
      </c>
      <c r="B36" s="7" t="s">
        <v>65</v>
      </c>
      <c r="C36" s="8" t="s">
        <v>66</v>
      </c>
      <c r="D36" s="9" t="s">
        <v>14</v>
      </c>
      <c r="E36" s="7" t="s">
        <v>15</v>
      </c>
      <c r="F36" s="7" t="n">
        <v>1</v>
      </c>
      <c r="G36" s="10" t="n">
        <v>79.95</v>
      </c>
      <c r="H36" s="10" t="n">
        <f aca="false">F36*G36</f>
        <v>79.95</v>
      </c>
    </row>
    <row r="37" customFormat="false" ht="15" hidden="false" customHeight="false" outlineLevel="0" collapsed="false">
      <c r="A37" s="6" t="s">
        <v>67</v>
      </c>
      <c r="B37" s="7" t="s">
        <v>68</v>
      </c>
      <c r="C37" s="8" t="s">
        <v>69</v>
      </c>
      <c r="D37" s="9" t="s">
        <v>14</v>
      </c>
      <c r="E37" s="7" t="s">
        <v>15</v>
      </c>
      <c r="F37" s="7" t="n">
        <v>1</v>
      </c>
      <c r="G37" s="10" t="n">
        <v>10.25</v>
      </c>
      <c r="H37" s="10" t="n">
        <f aca="false">F37*G37</f>
        <v>10.25</v>
      </c>
    </row>
    <row r="38" customFormat="false" ht="15" hidden="false" customHeight="false" outlineLevel="0" collapsed="false">
      <c r="A38" s="6" t="s">
        <v>70</v>
      </c>
      <c r="B38" s="7" t="s">
        <v>62</v>
      </c>
      <c r="C38" s="8" t="s">
        <v>71</v>
      </c>
      <c r="D38" s="9" t="s">
        <v>14</v>
      </c>
      <c r="E38" s="7" t="s">
        <v>15</v>
      </c>
      <c r="F38" s="7" t="n">
        <v>1</v>
      </c>
      <c r="G38" s="10" t="n">
        <v>12</v>
      </c>
      <c r="H38" s="10" t="n">
        <f aca="false">F38*G38</f>
        <v>12</v>
      </c>
    </row>
    <row r="39" customFormat="false" ht="15" hidden="false" customHeight="false" outlineLevel="0" collapsed="false">
      <c r="A39" s="6" t="s">
        <v>72</v>
      </c>
      <c r="B39" s="7" t="s">
        <v>62</v>
      </c>
      <c r="C39" s="8" t="s">
        <v>73</v>
      </c>
      <c r="D39" s="9" t="s">
        <v>14</v>
      </c>
      <c r="E39" s="7" t="s">
        <v>15</v>
      </c>
      <c r="F39" s="7" t="n">
        <v>1</v>
      </c>
      <c r="G39" s="10" t="n">
        <v>14</v>
      </c>
      <c r="H39" s="10" t="n">
        <f aca="false">F39*G39</f>
        <v>14</v>
      </c>
    </row>
    <row r="40" customFormat="false" ht="15" hidden="false" customHeight="false" outlineLevel="0" collapsed="false">
      <c r="A40" s="6" t="s">
        <v>74</v>
      </c>
      <c r="B40" s="7" t="s">
        <v>62</v>
      </c>
      <c r="C40" s="8" t="s">
        <v>75</v>
      </c>
      <c r="D40" s="9" t="s">
        <v>14</v>
      </c>
      <c r="E40" s="7" t="s">
        <v>15</v>
      </c>
      <c r="F40" s="7" t="n">
        <v>1</v>
      </c>
      <c r="G40" s="10" t="n">
        <v>7.95</v>
      </c>
      <c r="H40" s="10" t="n">
        <f aca="false">F40*G40</f>
        <v>7.95</v>
      </c>
    </row>
    <row r="41" customFormat="false" ht="15" hidden="false" customHeight="false" outlineLevel="0" collapsed="false">
      <c r="A41" s="6" t="s">
        <v>76</v>
      </c>
      <c r="B41" s="7" t="s">
        <v>62</v>
      </c>
      <c r="C41" s="8" t="s">
        <v>77</v>
      </c>
      <c r="D41" s="9" t="s">
        <v>14</v>
      </c>
      <c r="E41" s="7" t="s">
        <v>15</v>
      </c>
      <c r="F41" s="7" t="n">
        <v>1</v>
      </c>
      <c r="G41" s="10" t="n">
        <v>4</v>
      </c>
      <c r="H41" s="10" t="n">
        <f aca="false">F41*G41</f>
        <v>4</v>
      </c>
    </row>
    <row r="42" customFormat="false" ht="15" hidden="false" customHeight="false" outlineLevel="0" collapsed="false">
      <c r="A42" s="11" t="s">
        <v>48</v>
      </c>
      <c r="B42" s="12"/>
      <c r="C42" s="12"/>
      <c r="D42" s="12"/>
      <c r="E42" s="12"/>
      <c r="F42" s="12"/>
      <c r="G42" s="12"/>
      <c r="H42" s="13" t="n">
        <f aca="false">SUM(H35:H41)</f>
        <v>208.1</v>
      </c>
    </row>
    <row r="44" customFormat="false" ht="15" hidden="false" customHeight="true" outlineLevel="0" collapsed="false">
      <c r="A44" s="3" t="s">
        <v>78</v>
      </c>
      <c r="B44" s="3"/>
      <c r="C44" s="3"/>
      <c r="D44" s="3"/>
      <c r="E44" s="3"/>
      <c r="F44" s="3"/>
      <c r="G44" s="3"/>
      <c r="H44" s="3"/>
    </row>
    <row r="45" customFormat="false" ht="15" hidden="false" customHeight="false" outlineLevel="0" collapsed="false">
      <c r="A45" s="4" t="s">
        <v>3</v>
      </c>
      <c r="B45" s="4" t="s">
        <v>4</v>
      </c>
      <c r="C45" s="4" t="s">
        <v>5</v>
      </c>
      <c r="D45" s="4" t="s">
        <v>6</v>
      </c>
      <c r="E45" s="5" t="s">
        <v>7</v>
      </c>
      <c r="F45" s="5" t="s">
        <v>8</v>
      </c>
      <c r="G45" s="5" t="s">
        <v>9</v>
      </c>
      <c r="H45" s="5" t="s">
        <v>10</v>
      </c>
    </row>
    <row r="46" customFormat="false" ht="15" hidden="false" customHeight="false" outlineLevel="0" collapsed="false">
      <c r="A46" s="6" t="s">
        <v>79</v>
      </c>
      <c r="B46" s="7" t="s">
        <v>38</v>
      </c>
      <c r="C46" s="8" t="s">
        <v>80</v>
      </c>
      <c r="D46" s="9" t="s">
        <v>14</v>
      </c>
      <c r="E46" s="7" t="s">
        <v>15</v>
      </c>
      <c r="F46" s="7" t="n">
        <v>3</v>
      </c>
      <c r="G46" s="10" t="n">
        <v>10.99</v>
      </c>
      <c r="H46" s="10" t="n">
        <f aca="false">F46*G46</f>
        <v>32.97</v>
      </c>
    </row>
    <row r="47" customFormat="false" ht="15" hidden="false" customHeight="false" outlineLevel="0" collapsed="false">
      <c r="A47" s="6" t="s">
        <v>81</v>
      </c>
      <c r="B47" s="7" t="s">
        <v>38</v>
      </c>
      <c r="C47" s="8" t="s">
        <v>82</v>
      </c>
      <c r="D47" s="9" t="s">
        <v>14</v>
      </c>
      <c r="E47" s="7" t="s">
        <v>15</v>
      </c>
      <c r="F47" s="7" t="n">
        <v>1</v>
      </c>
      <c r="G47" s="10" t="n">
        <v>6.99</v>
      </c>
      <c r="H47" s="10" t="n">
        <f aca="false">F47*G47</f>
        <v>6.99</v>
      </c>
    </row>
    <row r="48" customFormat="false" ht="15" hidden="false" customHeight="false" outlineLevel="0" collapsed="false">
      <c r="A48" s="6" t="s">
        <v>83</v>
      </c>
      <c r="B48" s="7" t="s">
        <v>38</v>
      </c>
      <c r="C48" s="8" t="s">
        <v>84</v>
      </c>
      <c r="D48" s="9" t="s">
        <v>14</v>
      </c>
      <c r="E48" s="7" t="s">
        <v>15</v>
      </c>
      <c r="F48" s="7" t="n">
        <v>1</v>
      </c>
      <c r="G48" s="10" t="n">
        <v>5.99</v>
      </c>
      <c r="H48" s="10" t="n">
        <f aca="false">F48*G48</f>
        <v>5.99</v>
      </c>
    </row>
    <row r="49" customFormat="false" ht="15" hidden="false" customHeight="false" outlineLevel="0" collapsed="false">
      <c r="A49" s="6" t="s">
        <v>85</v>
      </c>
      <c r="B49" s="7" t="s">
        <v>38</v>
      </c>
      <c r="C49" s="8" t="s">
        <v>86</v>
      </c>
      <c r="D49" s="9" t="s">
        <v>14</v>
      </c>
      <c r="E49" s="7" t="s">
        <v>15</v>
      </c>
      <c r="F49" s="7" t="n">
        <v>1</v>
      </c>
      <c r="G49" s="10" t="n">
        <v>25</v>
      </c>
      <c r="H49" s="10" t="n">
        <f aca="false">F49*G49</f>
        <v>25</v>
      </c>
    </row>
    <row r="50" customFormat="false" ht="15" hidden="false" customHeight="false" outlineLevel="0" collapsed="false">
      <c r="A50" s="11" t="s">
        <v>48</v>
      </c>
      <c r="B50" s="12"/>
      <c r="C50" s="12"/>
      <c r="D50" s="12"/>
      <c r="E50" s="12"/>
      <c r="F50" s="12"/>
      <c r="G50" s="12"/>
      <c r="H50" s="13" t="n">
        <f aca="false">SUM(H46:H49)</f>
        <v>70.95</v>
      </c>
    </row>
    <row r="52" customFormat="false" ht="15" hidden="false" customHeight="true" outlineLevel="0" collapsed="false">
      <c r="A52" s="3" t="s">
        <v>87</v>
      </c>
      <c r="B52" s="3"/>
      <c r="C52" s="3"/>
      <c r="D52" s="3"/>
      <c r="E52" s="3"/>
      <c r="F52" s="3"/>
      <c r="G52" s="3"/>
      <c r="H52" s="3"/>
    </row>
    <row r="53" customFormat="false" ht="15" hidden="false" customHeight="fals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5" t="s">
        <v>7</v>
      </c>
      <c r="F53" s="5" t="s">
        <v>8</v>
      </c>
      <c r="G53" s="5" t="s">
        <v>9</v>
      </c>
      <c r="H53" s="5" t="s">
        <v>10</v>
      </c>
    </row>
    <row r="54" customFormat="false" ht="15" hidden="false" customHeight="false" outlineLevel="0" collapsed="false">
      <c r="A54" s="6" t="s">
        <v>88</v>
      </c>
      <c r="B54" s="7" t="s">
        <v>38</v>
      </c>
      <c r="C54" s="8" t="s">
        <v>89</v>
      </c>
      <c r="D54" s="9" t="s">
        <v>14</v>
      </c>
      <c r="E54" s="7" t="s">
        <v>15</v>
      </c>
      <c r="F54" s="7" t="n">
        <v>3</v>
      </c>
      <c r="G54" s="10" t="n">
        <v>18.99</v>
      </c>
      <c r="H54" s="10" t="n">
        <f aca="false">F54*G54</f>
        <v>56.97</v>
      </c>
    </row>
    <row r="55" customFormat="false" ht="15" hidden="false" customHeight="false" outlineLevel="0" collapsed="false">
      <c r="A55" s="6" t="s">
        <v>90</v>
      </c>
      <c r="B55" s="7" t="s">
        <v>12</v>
      </c>
      <c r="C55" s="8" t="s">
        <v>91</v>
      </c>
      <c r="D55" s="9" t="s">
        <v>14</v>
      </c>
      <c r="E55" s="7" t="s">
        <v>15</v>
      </c>
      <c r="F55" s="7" t="n">
        <v>1</v>
      </c>
      <c r="G55" s="10" t="n">
        <v>9.95</v>
      </c>
      <c r="H55" s="10" t="n">
        <f aca="false">F55*G55</f>
        <v>9.95</v>
      </c>
    </row>
    <row r="56" customFormat="false" ht="15" hidden="false" customHeight="false" outlineLevel="0" collapsed="false">
      <c r="A56" s="6" t="s">
        <v>92</v>
      </c>
      <c r="B56" s="7" t="s">
        <v>93</v>
      </c>
      <c r="C56" s="8" t="s">
        <v>94</v>
      </c>
      <c r="D56" s="9" t="s">
        <v>14</v>
      </c>
      <c r="E56" s="7" t="s">
        <v>15</v>
      </c>
      <c r="F56" s="7" t="n">
        <v>1</v>
      </c>
      <c r="G56" s="10" t="n">
        <v>25</v>
      </c>
      <c r="H56" s="10" t="n">
        <f aca="false">F56*G56</f>
        <v>25</v>
      </c>
    </row>
    <row r="57" customFormat="false" ht="15" hidden="false" customHeight="false" outlineLevel="0" collapsed="false">
      <c r="A57" s="11" t="s">
        <v>48</v>
      </c>
      <c r="B57" s="12"/>
      <c r="C57" s="12"/>
      <c r="D57" s="12"/>
      <c r="E57" s="12"/>
      <c r="F57" s="12"/>
      <c r="G57" s="12"/>
      <c r="H57" s="13" t="n">
        <f aca="false">SUM(H54:H56)</f>
        <v>91.92</v>
      </c>
    </row>
    <row r="59" customFormat="false" ht="15" hidden="false" customHeight="true" outlineLevel="0" collapsed="false">
      <c r="A59" s="3" t="s">
        <v>95</v>
      </c>
      <c r="B59" s="3"/>
      <c r="C59" s="3"/>
      <c r="D59" s="3"/>
      <c r="E59" s="3"/>
      <c r="F59" s="3"/>
      <c r="G59" s="3"/>
      <c r="H59" s="3"/>
    </row>
    <row r="60" customFormat="false" ht="15" hidden="false" customHeight="false" outlineLevel="0" collapsed="false">
      <c r="A60" s="4" t="s">
        <v>3</v>
      </c>
      <c r="B60" s="4" t="s">
        <v>4</v>
      </c>
      <c r="C60" s="4" t="s">
        <v>5</v>
      </c>
      <c r="D60" s="4" t="s">
        <v>6</v>
      </c>
      <c r="E60" s="5" t="s">
        <v>7</v>
      </c>
      <c r="F60" s="5" t="s">
        <v>8</v>
      </c>
      <c r="G60" s="5" t="s">
        <v>9</v>
      </c>
      <c r="H60" s="5" t="s">
        <v>10</v>
      </c>
    </row>
    <row r="61" customFormat="false" ht="15" hidden="false" customHeight="false" outlineLevel="0" collapsed="false">
      <c r="A61" s="6" t="s">
        <v>96</v>
      </c>
      <c r="B61" s="7" t="s">
        <v>62</v>
      </c>
      <c r="C61" s="8" t="s">
        <v>97</v>
      </c>
      <c r="D61" s="9" t="s">
        <v>14</v>
      </c>
      <c r="E61" s="7" t="s">
        <v>15</v>
      </c>
      <c r="F61" s="7" t="n">
        <v>8</v>
      </c>
      <c r="G61" s="10" t="n">
        <v>33.3</v>
      </c>
      <c r="H61" s="10" t="n">
        <f aca="false">F61*G61</f>
        <v>266.4</v>
      </c>
    </row>
    <row r="62" customFormat="false" ht="15" hidden="false" customHeight="false" outlineLevel="0" collapsed="false">
      <c r="A62" s="6" t="s">
        <v>98</v>
      </c>
      <c r="B62" s="7" t="s">
        <v>62</v>
      </c>
      <c r="C62" s="8" t="s">
        <v>99</v>
      </c>
      <c r="D62" s="9" t="s">
        <v>14</v>
      </c>
      <c r="E62" s="7" t="s">
        <v>100</v>
      </c>
      <c r="F62" s="7" t="n">
        <v>12</v>
      </c>
      <c r="G62" s="10" t="n">
        <v>26.99</v>
      </c>
      <c r="H62" s="10" t="n">
        <f aca="false">F62*G62</f>
        <v>323.88</v>
      </c>
    </row>
    <row r="63" customFormat="false" ht="15" hidden="false" customHeight="false" outlineLevel="0" collapsed="false">
      <c r="A63" s="6" t="s">
        <v>101</v>
      </c>
      <c r="B63" s="7" t="s">
        <v>62</v>
      </c>
      <c r="C63" s="8" t="s">
        <v>102</v>
      </c>
      <c r="D63" s="9" t="s">
        <v>14</v>
      </c>
      <c r="E63" s="7" t="s">
        <v>15</v>
      </c>
      <c r="F63" s="7" t="n">
        <v>4</v>
      </c>
      <c r="G63" s="10" t="n">
        <v>100.34</v>
      </c>
      <c r="H63" s="10" t="n">
        <f aca="false">F63*G63</f>
        <v>401.36</v>
      </c>
    </row>
    <row r="64" customFormat="false" ht="15" hidden="false" customHeight="false" outlineLevel="0" collapsed="false">
      <c r="A64" s="6" t="s">
        <v>103</v>
      </c>
      <c r="B64" s="7" t="s">
        <v>62</v>
      </c>
      <c r="C64" s="8" t="s">
        <v>104</v>
      </c>
      <c r="D64" s="9" t="s">
        <v>14</v>
      </c>
      <c r="E64" s="7" t="s">
        <v>15</v>
      </c>
      <c r="F64" s="7" t="n">
        <v>3</v>
      </c>
      <c r="G64" s="10" t="n">
        <v>9.99</v>
      </c>
      <c r="H64" s="10" t="n">
        <f aca="false">F64*G64</f>
        <v>29.97</v>
      </c>
    </row>
    <row r="65" customFormat="false" ht="15" hidden="false" customHeight="false" outlineLevel="0" collapsed="false">
      <c r="A65" s="6" t="s">
        <v>105</v>
      </c>
      <c r="B65" s="7" t="s">
        <v>68</v>
      </c>
      <c r="C65" s="8" t="s">
        <v>106</v>
      </c>
      <c r="D65" s="9" t="s">
        <v>14</v>
      </c>
      <c r="E65" s="7" t="s">
        <v>15</v>
      </c>
      <c r="F65" s="7" t="n">
        <v>6</v>
      </c>
      <c r="G65" s="10" t="n">
        <v>10</v>
      </c>
      <c r="H65" s="10" t="n">
        <f aca="false">F65*G65</f>
        <v>60</v>
      </c>
    </row>
    <row r="66" customFormat="false" ht="15" hidden="false" customHeight="false" outlineLevel="0" collapsed="false">
      <c r="A66" s="11" t="s">
        <v>48</v>
      </c>
      <c r="B66" s="12"/>
      <c r="C66" s="12"/>
      <c r="D66" s="12"/>
      <c r="E66" s="12"/>
      <c r="F66" s="12"/>
      <c r="G66" s="12"/>
      <c r="H66" s="13" t="n">
        <f aca="false">SUM(H61:H65)</f>
        <v>1081.61</v>
      </c>
    </row>
    <row r="68" customFormat="false" ht="15" hidden="false" customHeight="true" outlineLevel="0" collapsed="false">
      <c r="A68" s="3" t="s">
        <v>107</v>
      </c>
      <c r="B68" s="3"/>
      <c r="C68" s="3"/>
      <c r="D68" s="3"/>
      <c r="E68" s="3"/>
      <c r="F68" s="3"/>
      <c r="G68" s="3"/>
      <c r="H68" s="3"/>
    </row>
    <row r="69" customFormat="false" ht="15" hidden="false" customHeight="false" outlineLevel="0" collapsed="false">
      <c r="A69" s="4" t="s">
        <v>3</v>
      </c>
      <c r="B69" s="4" t="s">
        <v>4</v>
      </c>
      <c r="C69" s="4" t="s">
        <v>5</v>
      </c>
      <c r="D69" s="4" t="s">
        <v>6</v>
      </c>
      <c r="E69" s="5" t="s">
        <v>7</v>
      </c>
      <c r="F69" s="5" t="s">
        <v>8</v>
      </c>
      <c r="G69" s="5" t="s">
        <v>9</v>
      </c>
      <c r="H69" s="5" t="s">
        <v>10</v>
      </c>
    </row>
    <row r="70" customFormat="false" ht="15" hidden="false" customHeight="false" outlineLevel="0" collapsed="false">
      <c r="A70" s="6" t="s">
        <v>108</v>
      </c>
      <c r="B70" s="7" t="s">
        <v>109</v>
      </c>
      <c r="C70" s="8" t="s">
        <v>110</v>
      </c>
      <c r="D70" s="9" t="s">
        <v>14</v>
      </c>
      <c r="E70" s="7" t="s">
        <v>15</v>
      </c>
      <c r="F70" s="7" t="n">
        <v>0.38</v>
      </c>
      <c r="G70" s="10" t="n">
        <v>25.99</v>
      </c>
      <c r="H70" s="10" t="n">
        <f aca="false">F70*G70</f>
        <v>9.8762</v>
      </c>
    </row>
    <row r="71" customFormat="false" ht="15" hidden="false" customHeight="false" outlineLevel="0" collapsed="false">
      <c r="A71" s="6" t="s">
        <v>111</v>
      </c>
      <c r="B71" s="7" t="s">
        <v>109</v>
      </c>
      <c r="C71" s="8" t="s">
        <v>112</v>
      </c>
      <c r="D71" s="9" t="s">
        <v>14</v>
      </c>
      <c r="E71" s="7" t="s">
        <v>15</v>
      </c>
      <c r="F71" s="7" t="n">
        <v>0.08</v>
      </c>
      <c r="G71" s="10" t="n">
        <v>45.99</v>
      </c>
      <c r="H71" s="10" t="n">
        <f aca="false">F71*G71</f>
        <v>3.6792</v>
      </c>
    </row>
    <row r="72" customFormat="false" ht="15" hidden="false" customHeight="false" outlineLevel="0" collapsed="false">
      <c r="A72" s="6" t="s">
        <v>113</v>
      </c>
      <c r="B72" s="7" t="s">
        <v>109</v>
      </c>
      <c r="C72" s="8" t="s">
        <v>114</v>
      </c>
      <c r="D72" s="9" t="s">
        <v>14</v>
      </c>
      <c r="E72" s="7" t="s">
        <v>15</v>
      </c>
      <c r="F72" s="7" t="n">
        <v>0.28</v>
      </c>
      <c r="G72" s="10" t="n">
        <v>43.99</v>
      </c>
      <c r="H72" s="10" t="n">
        <f aca="false">F72*G72</f>
        <v>12.3172</v>
      </c>
    </row>
    <row r="73" customFormat="false" ht="15" hidden="false" customHeight="false" outlineLevel="0" collapsed="false">
      <c r="A73" s="6" t="s">
        <v>115</v>
      </c>
      <c r="B73" s="7" t="s">
        <v>109</v>
      </c>
      <c r="C73" s="8" t="s">
        <v>116</v>
      </c>
      <c r="D73" s="9" t="s">
        <v>14</v>
      </c>
      <c r="E73" s="7" t="s">
        <v>15</v>
      </c>
      <c r="F73" s="7" t="n">
        <v>0.06</v>
      </c>
      <c r="G73" s="10" t="n">
        <v>19.99</v>
      </c>
      <c r="H73" s="10" t="n">
        <f aca="false">F73*G73</f>
        <v>1.1994</v>
      </c>
    </row>
    <row r="74" customFormat="false" ht="15" hidden="false" customHeight="false" outlineLevel="0" collapsed="false">
      <c r="A74" s="11" t="s">
        <v>48</v>
      </c>
      <c r="B74" s="12"/>
      <c r="C74" s="12"/>
      <c r="D74" s="12"/>
      <c r="E74" s="12"/>
      <c r="F74" s="12"/>
      <c r="G74" s="12"/>
      <c r="H74" s="13" t="n">
        <f aca="false">SUM(H70:H73)</f>
        <v>27.072</v>
      </c>
    </row>
    <row r="76" customFormat="false" ht="15" hidden="false" customHeight="true" outlineLevel="0" collapsed="false">
      <c r="A76" s="3" t="s">
        <v>117</v>
      </c>
      <c r="B76" s="3"/>
      <c r="C76" s="3"/>
      <c r="D76" s="3"/>
      <c r="E76" s="3"/>
      <c r="F76" s="3"/>
      <c r="G76" s="3"/>
      <c r="H76" s="3"/>
    </row>
    <row r="77" customFormat="false" ht="15" hidden="false" customHeight="fals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5" t="s">
        <v>7</v>
      </c>
      <c r="F77" s="5" t="s">
        <v>8</v>
      </c>
      <c r="G77" s="5" t="s">
        <v>9</v>
      </c>
      <c r="H77" s="5" t="s">
        <v>10</v>
      </c>
    </row>
    <row r="78" customFormat="false" ht="15" hidden="false" customHeight="false" outlineLevel="0" collapsed="false">
      <c r="A78" s="6" t="s">
        <v>118</v>
      </c>
      <c r="B78" s="7" t="s">
        <v>12</v>
      </c>
      <c r="C78" s="8" t="s">
        <v>119</v>
      </c>
      <c r="D78" s="9" t="s">
        <v>14</v>
      </c>
      <c r="E78" s="7" t="s">
        <v>15</v>
      </c>
      <c r="F78" s="7" t="n">
        <v>3</v>
      </c>
      <c r="G78" s="10" t="n">
        <v>0.95</v>
      </c>
      <c r="H78" s="10" t="n">
        <f aca="false">F78*G78</f>
        <v>2.85</v>
      </c>
    </row>
    <row r="79" customFormat="false" ht="15" hidden="false" customHeight="false" outlineLevel="0" collapsed="false">
      <c r="A79" s="6" t="s">
        <v>120</v>
      </c>
      <c r="B79" s="7" t="s">
        <v>12</v>
      </c>
      <c r="C79" s="8" t="s">
        <v>121</v>
      </c>
      <c r="D79" s="9" t="s">
        <v>14</v>
      </c>
      <c r="E79" s="7" t="s">
        <v>15</v>
      </c>
      <c r="F79" s="7" t="n">
        <v>3</v>
      </c>
      <c r="G79" s="10" t="n">
        <v>0.95</v>
      </c>
      <c r="H79" s="10" t="n">
        <f aca="false">F79*G79</f>
        <v>2.85</v>
      </c>
    </row>
    <row r="80" customFormat="false" ht="15" hidden="false" customHeight="false" outlineLevel="0" collapsed="false">
      <c r="A80" s="6" t="s">
        <v>122</v>
      </c>
      <c r="B80" s="7" t="s">
        <v>38</v>
      </c>
      <c r="C80" s="8" t="s">
        <v>123</v>
      </c>
      <c r="D80" s="9" t="s">
        <v>14</v>
      </c>
      <c r="E80" s="7" t="s">
        <v>15</v>
      </c>
      <c r="F80" s="7" t="n">
        <v>1</v>
      </c>
      <c r="G80" s="10" t="n">
        <v>15.99</v>
      </c>
      <c r="H80" s="10" t="n">
        <f aca="false">F80*G80</f>
        <v>15.99</v>
      </c>
    </row>
    <row r="81" customFormat="false" ht="15" hidden="false" customHeight="false" outlineLevel="0" collapsed="false">
      <c r="A81" s="6" t="s">
        <v>124</v>
      </c>
      <c r="B81" s="7" t="s">
        <v>38</v>
      </c>
      <c r="C81" s="8" t="s">
        <v>125</v>
      </c>
      <c r="D81" s="9" t="s">
        <v>14</v>
      </c>
      <c r="E81" s="7" t="s">
        <v>15</v>
      </c>
      <c r="F81" s="7" t="n">
        <v>1</v>
      </c>
      <c r="G81" s="10" t="n">
        <v>14.99</v>
      </c>
      <c r="H81" s="10" t="n">
        <f aca="false">F81*G81</f>
        <v>14.99</v>
      </c>
    </row>
    <row r="82" customFormat="false" ht="15" hidden="false" customHeight="false" outlineLevel="0" collapsed="false">
      <c r="A82" s="6" t="s">
        <v>126</v>
      </c>
      <c r="B82" s="7" t="s">
        <v>38</v>
      </c>
      <c r="C82" s="8" t="s">
        <v>127</v>
      </c>
      <c r="D82" s="9" t="s">
        <v>14</v>
      </c>
      <c r="E82" s="7" t="s">
        <v>15</v>
      </c>
      <c r="F82" s="7" t="n">
        <v>1</v>
      </c>
      <c r="G82" s="10" t="n">
        <v>9.75</v>
      </c>
      <c r="H82" s="10" t="n">
        <f aca="false">F82*G82</f>
        <v>9.75</v>
      </c>
    </row>
    <row r="83" customFormat="false" ht="15" hidden="false" customHeight="false" outlineLevel="0" collapsed="false">
      <c r="A83" s="6" t="s">
        <v>128</v>
      </c>
      <c r="B83" s="7" t="s">
        <v>38</v>
      </c>
      <c r="C83" s="8" t="s">
        <v>129</v>
      </c>
      <c r="D83" s="9" t="s">
        <v>14</v>
      </c>
      <c r="E83" s="7" t="s">
        <v>15</v>
      </c>
      <c r="F83" s="7" t="n">
        <v>1</v>
      </c>
      <c r="G83" s="10" t="n">
        <v>9.99</v>
      </c>
      <c r="H83" s="10" t="n">
        <f aca="false">F83*G83</f>
        <v>9.99</v>
      </c>
    </row>
    <row r="84" customFormat="false" ht="15" hidden="false" customHeight="false" outlineLevel="0" collapsed="false">
      <c r="A84" s="6" t="s">
        <v>130</v>
      </c>
      <c r="B84" s="7" t="s">
        <v>38</v>
      </c>
      <c r="C84" s="8" t="s">
        <v>131</v>
      </c>
      <c r="D84" s="9" t="s">
        <v>14</v>
      </c>
      <c r="E84" s="7" t="s">
        <v>15</v>
      </c>
      <c r="F84" s="7" t="n">
        <v>1</v>
      </c>
      <c r="G84" s="10" t="n">
        <v>10.99</v>
      </c>
      <c r="H84" s="10" t="n">
        <f aca="false">F84*G84</f>
        <v>10.99</v>
      </c>
    </row>
    <row r="85" customFormat="false" ht="15" hidden="false" customHeight="false" outlineLevel="0" collapsed="false">
      <c r="A85" s="6" t="s">
        <v>132</v>
      </c>
      <c r="B85" s="7" t="s">
        <v>38</v>
      </c>
      <c r="C85" s="8" t="s">
        <v>133</v>
      </c>
      <c r="D85" s="9" t="s">
        <v>14</v>
      </c>
      <c r="E85" s="7" t="s">
        <v>15</v>
      </c>
      <c r="F85" s="7" t="n">
        <v>1</v>
      </c>
      <c r="G85" s="10" t="n">
        <v>13.99</v>
      </c>
      <c r="H85" s="10" t="n">
        <f aca="false">F85*G85</f>
        <v>13.99</v>
      </c>
    </row>
    <row r="86" customFormat="false" ht="15" hidden="false" customHeight="false" outlineLevel="0" collapsed="false">
      <c r="A86" s="6" t="s">
        <v>134</v>
      </c>
      <c r="B86" s="7" t="s">
        <v>38</v>
      </c>
      <c r="C86" s="8" t="s">
        <v>135</v>
      </c>
      <c r="D86" s="9" t="s">
        <v>14</v>
      </c>
      <c r="E86" s="7" t="s">
        <v>15</v>
      </c>
      <c r="F86" s="7" t="n">
        <v>1</v>
      </c>
      <c r="G86" s="10" t="n">
        <v>10.99</v>
      </c>
      <c r="H86" s="10" t="n">
        <f aca="false">F86*G86</f>
        <v>10.99</v>
      </c>
    </row>
    <row r="87" customFormat="false" ht="15" hidden="false" customHeight="false" outlineLevel="0" collapsed="false">
      <c r="A87" s="6" t="s">
        <v>136</v>
      </c>
      <c r="B87" s="7" t="s">
        <v>38</v>
      </c>
      <c r="C87" s="8" t="s">
        <v>137</v>
      </c>
      <c r="D87" s="9" t="s">
        <v>14</v>
      </c>
      <c r="E87" s="7" t="s">
        <v>15</v>
      </c>
      <c r="F87" s="7" t="n">
        <v>1</v>
      </c>
      <c r="G87" s="10" t="n">
        <v>21.39</v>
      </c>
      <c r="H87" s="10" t="n">
        <f aca="false">F87*G87</f>
        <v>21.39</v>
      </c>
    </row>
    <row r="88" customFormat="false" ht="15" hidden="false" customHeight="false" outlineLevel="0" collapsed="false">
      <c r="A88" s="11" t="s">
        <v>48</v>
      </c>
      <c r="B88" s="12"/>
      <c r="C88" s="12"/>
      <c r="D88" s="12"/>
      <c r="E88" s="12"/>
      <c r="F88" s="12"/>
      <c r="G88" s="12"/>
      <c r="H88" s="13" t="n">
        <f aca="false">SUM(H78:H87)</f>
        <v>113.78</v>
      </c>
    </row>
    <row r="90" customFormat="false" ht="15" hidden="false" customHeight="true" outlineLevel="0" collapsed="false">
      <c r="A90" s="3" t="s">
        <v>138</v>
      </c>
      <c r="B90" s="3"/>
      <c r="C90" s="3"/>
      <c r="D90" s="3"/>
      <c r="E90" s="3"/>
      <c r="F90" s="3"/>
      <c r="G90" s="3"/>
      <c r="H90" s="3"/>
    </row>
    <row r="91" customFormat="false" ht="15" hidden="false" customHeight="false" outlineLevel="0" collapsed="false">
      <c r="A91" s="4" t="s">
        <v>3</v>
      </c>
      <c r="B91" s="4" t="s">
        <v>4</v>
      </c>
      <c r="C91" s="4" t="s">
        <v>5</v>
      </c>
      <c r="D91" s="4" t="s">
        <v>6</v>
      </c>
      <c r="E91" s="5" t="s">
        <v>7</v>
      </c>
      <c r="F91" s="5" t="s">
        <v>8</v>
      </c>
      <c r="G91" s="5" t="s">
        <v>9</v>
      </c>
      <c r="H91" s="5" t="s">
        <v>10</v>
      </c>
    </row>
    <row r="92" customFormat="false" ht="15" hidden="false" customHeight="false" outlineLevel="0" collapsed="false">
      <c r="A92" s="6" t="s">
        <v>139</v>
      </c>
      <c r="B92" s="7" t="s">
        <v>38</v>
      </c>
      <c r="C92" s="8" t="s">
        <v>140</v>
      </c>
      <c r="D92" s="9" t="s">
        <v>14</v>
      </c>
      <c r="E92" s="7" t="s">
        <v>15</v>
      </c>
      <c r="F92" s="7" t="n">
        <v>1</v>
      </c>
      <c r="G92" s="10" t="n">
        <v>14.99</v>
      </c>
      <c r="H92" s="10" t="n">
        <f aca="false">F92*G92</f>
        <v>14.99</v>
      </c>
    </row>
    <row r="93" customFormat="false" ht="15" hidden="false" customHeight="false" outlineLevel="0" collapsed="false">
      <c r="A93" s="6" t="s">
        <v>141</v>
      </c>
      <c r="B93" s="7" t="s">
        <v>12</v>
      </c>
      <c r="C93" s="8" t="s">
        <v>142</v>
      </c>
      <c r="D93" s="9" t="s">
        <v>14</v>
      </c>
      <c r="E93" s="7" t="s">
        <v>143</v>
      </c>
      <c r="F93" s="7" t="n">
        <v>1</v>
      </c>
      <c r="G93" s="10" t="n">
        <v>27.5</v>
      </c>
      <c r="H93" s="10" t="n">
        <f aca="false">F93*G93</f>
        <v>27.5</v>
      </c>
    </row>
    <row r="94" customFormat="false" ht="15" hidden="false" customHeight="false" outlineLevel="0" collapsed="false">
      <c r="A94" s="6" t="s">
        <v>144</v>
      </c>
      <c r="B94" s="7" t="s">
        <v>93</v>
      </c>
      <c r="C94" s="8" t="s">
        <v>145</v>
      </c>
      <c r="D94" s="9" t="s">
        <v>14</v>
      </c>
      <c r="E94" s="7" t="s">
        <v>15</v>
      </c>
      <c r="F94" s="7" t="n">
        <v>1</v>
      </c>
      <c r="G94" s="10" t="n">
        <v>25</v>
      </c>
      <c r="H94" s="10" t="n">
        <f aca="false">F94*G94</f>
        <v>25</v>
      </c>
    </row>
    <row r="95" customFormat="false" ht="15" hidden="false" customHeight="false" outlineLevel="0" collapsed="false">
      <c r="A95" s="6" t="s">
        <v>146</v>
      </c>
      <c r="B95" s="7" t="s">
        <v>68</v>
      </c>
      <c r="C95" s="8" t="s">
        <v>147</v>
      </c>
      <c r="D95" s="9" t="s">
        <v>14</v>
      </c>
      <c r="E95" s="7" t="s">
        <v>15</v>
      </c>
      <c r="F95" s="7" t="n">
        <v>1</v>
      </c>
      <c r="G95" s="10" t="n">
        <v>43.99</v>
      </c>
      <c r="H95" s="10" t="n">
        <f aca="false">F95*G95</f>
        <v>43.99</v>
      </c>
    </row>
    <row r="96" customFormat="false" ht="15" hidden="false" customHeight="false" outlineLevel="0" collapsed="false">
      <c r="A96" s="6" t="s">
        <v>148</v>
      </c>
      <c r="B96" s="7" t="s">
        <v>38</v>
      </c>
      <c r="C96" s="8" t="s">
        <v>149</v>
      </c>
      <c r="D96" s="9" t="s">
        <v>14</v>
      </c>
      <c r="E96" s="7" t="s">
        <v>15</v>
      </c>
      <c r="F96" s="7" t="n">
        <v>1</v>
      </c>
      <c r="G96" s="10" t="n">
        <v>96</v>
      </c>
      <c r="H96" s="10" t="n">
        <f aca="false">F96*G96</f>
        <v>96</v>
      </c>
    </row>
    <row r="97" customFormat="false" ht="15" hidden="false" customHeight="false" outlineLevel="0" collapsed="false">
      <c r="A97" s="6" t="s">
        <v>150</v>
      </c>
      <c r="B97" s="7" t="s">
        <v>109</v>
      </c>
      <c r="C97" s="8" t="s">
        <v>116</v>
      </c>
      <c r="D97" s="9" t="s">
        <v>14</v>
      </c>
      <c r="E97" s="7" t="s">
        <v>15</v>
      </c>
      <c r="F97" s="7" t="n">
        <v>0.8</v>
      </c>
      <c r="G97" s="10" t="n">
        <v>19.99</v>
      </c>
      <c r="H97" s="10" t="n">
        <f aca="false">F97*G97</f>
        <v>15.992</v>
      </c>
    </row>
    <row r="98" customFormat="false" ht="15" hidden="false" customHeight="false" outlineLevel="0" collapsed="false">
      <c r="A98" s="11" t="s">
        <v>48</v>
      </c>
      <c r="B98" s="12"/>
      <c r="C98" s="12"/>
      <c r="D98" s="12"/>
      <c r="E98" s="12"/>
      <c r="F98" s="12"/>
      <c r="G98" s="12"/>
      <c r="H98" s="13" t="n">
        <f aca="false">SUM(H92:H97)</f>
        <v>223.472</v>
      </c>
    </row>
    <row r="100" customFormat="false" ht="15" hidden="false" customHeight="true" outlineLevel="0" collapsed="false">
      <c r="A100" s="3" t="s">
        <v>151</v>
      </c>
      <c r="B100" s="3"/>
      <c r="C100" s="3"/>
      <c r="D100" s="3"/>
      <c r="E100" s="3"/>
      <c r="F100" s="3"/>
      <c r="G100" s="3"/>
      <c r="H100" s="3"/>
    </row>
    <row r="101" customFormat="false" ht="15" hidden="false" customHeight="fals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5" t="s">
        <v>7</v>
      </c>
      <c r="F101" s="5" t="s">
        <v>8</v>
      </c>
      <c r="G101" s="5" t="s">
        <v>9</v>
      </c>
      <c r="H101" s="5" t="s">
        <v>10</v>
      </c>
    </row>
    <row r="102" customFormat="false" ht="15" hidden="false" customHeight="false" outlineLevel="0" collapsed="false">
      <c r="A102" s="6" t="s">
        <v>152</v>
      </c>
      <c r="B102" s="7" t="s">
        <v>38</v>
      </c>
      <c r="C102" s="8" t="s">
        <v>153</v>
      </c>
      <c r="D102" s="9" t="s">
        <v>14</v>
      </c>
      <c r="E102" s="7" t="s">
        <v>15</v>
      </c>
      <c r="F102" s="7" t="n">
        <v>1</v>
      </c>
      <c r="G102" s="10" t="n">
        <v>36.99</v>
      </c>
      <c r="H102" s="10" t="n">
        <f aca="false">F102*G102</f>
        <v>36.99</v>
      </c>
    </row>
    <row r="103" customFormat="false" ht="15" hidden="false" customHeight="false" outlineLevel="0" collapsed="false">
      <c r="A103" s="6" t="s">
        <v>154</v>
      </c>
      <c r="B103" s="7" t="s">
        <v>38</v>
      </c>
      <c r="C103" s="8" t="s">
        <v>155</v>
      </c>
      <c r="D103" s="9" t="s">
        <v>14</v>
      </c>
      <c r="E103" s="7" t="s">
        <v>15</v>
      </c>
      <c r="F103" s="7" t="n">
        <v>1</v>
      </c>
      <c r="G103" s="10" t="n">
        <v>31.99</v>
      </c>
      <c r="H103" s="10" t="n">
        <f aca="false">F103*G103</f>
        <v>31.99</v>
      </c>
    </row>
    <row r="104" customFormat="false" ht="15" hidden="false" customHeight="false" outlineLevel="0" collapsed="false">
      <c r="A104" s="6" t="s">
        <v>156</v>
      </c>
      <c r="B104" s="7" t="s">
        <v>38</v>
      </c>
      <c r="C104" s="8" t="s">
        <v>157</v>
      </c>
      <c r="D104" s="9" t="s">
        <v>14</v>
      </c>
      <c r="E104" s="7" t="s">
        <v>15</v>
      </c>
      <c r="F104" s="7" t="n">
        <v>1</v>
      </c>
      <c r="G104" s="10" t="n">
        <v>33.99</v>
      </c>
      <c r="H104" s="10" t="n">
        <f aca="false">F104*G104</f>
        <v>33.99</v>
      </c>
    </row>
    <row r="105" customFormat="false" ht="15" hidden="false" customHeight="false" outlineLevel="0" collapsed="false">
      <c r="A105" s="6" t="s">
        <v>158</v>
      </c>
      <c r="B105" s="7" t="s">
        <v>38</v>
      </c>
      <c r="C105" s="8" t="s">
        <v>159</v>
      </c>
      <c r="D105" s="9" t="s">
        <v>14</v>
      </c>
      <c r="E105" s="7" t="s">
        <v>15</v>
      </c>
      <c r="F105" s="7" t="n">
        <v>1</v>
      </c>
      <c r="G105" s="10" t="n">
        <v>74.99</v>
      </c>
      <c r="H105" s="10" t="n">
        <f aca="false">F105*G105</f>
        <v>74.99</v>
      </c>
    </row>
    <row r="106" customFormat="false" ht="15" hidden="false" customHeight="false" outlineLevel="0" collapsed="false">
      <c r="A106" s="6" t="s">
        <v>160</v>
      </c>
      <c r="B106" s="7" t="s">
        <v>38</v>
      </c>
      <c r="C106" s="8" t="s">
        <v>161</v>
      </c>
      <c r="D106" s="9" t="s">
        <v>14</v>
      </c>
      <c r="E106" s="7" t="s">
        <v>15</v>
      </c>
      <c r="F106" s="7" t="n">
        <v>1</v>
      </c>
      <c r="G106" s="10" t="n">
        <v>14.99</v>
      </c>
      <c r="H106" s="10" t="n">
        <f aca="false">F106*G106</f>
        <v>14.99</v>
      </c>
    </row>
    <row r="107" customFormat="false" ht="15" hidden="false" customHeight="false" outlineLevel="0" collapsed="false">
      <c r="A107" s="6" t="s">
        <v>162</v>
      </c>
      <c r="B107" s="7" t="s">
        <v>38</v>
      </c>
      <c r="C107" s="8" t="s">
        <v>163</v>
      </c>
      <c r="D107" s="9" t="s">
        <v>14</v>
      </c>
      <c r="E107" s="7" t="s">
        <v>15</v>
      </c>
      <c r="F107" s="7" t="n">
        <v>1</v>
      </c>
      <c r="G107" s="10" t="n">
        <v>29.99</v>
      </c>
      <c r="H107" s="10" t="n">
        <f aca="false">F107*G107</f>
        <v>29.99</v>
      </c>
    </row>
    <row r="108" customFormat="false" ht="15" hidden="false" customHeight="false" outlineLevel="0" collapsed="false">
      <c r="A108" s="11" t="s">
        <v>48</v>
      </c>
      <c r="B108" s="12"/>
      <c r="C108" s="12"/>
      <c r="D108" s="12"/>
      <c r="E108" s="12"/>
      <c r="F108" s="12"/>
      <c r="G108" s="12"/>
      <c r="H108" s="13" t="n">
        <f aca="false">SUM(H102:H107)</f>
        <v>222.94</v>
      </c>
    </row>
    <row r="110" customFormat="false" ht="21.75" hidden="false" customHeight="true" outlineLevel="0" collapsed="false">
      <c r="A110" s="14" t="s">
        <v>164</v>
      </c>
      <c r="B110" s="14"/>
      <c r="C110" s="14"/>
      <c r="D110" s="14"/>
      <c r="E110" s="14"/>
      <c r="F110" s="14"/>
      <c r="G110" s="14"/>
      <c r="H110" s="15" t="n">
        <f aca="false">H22+H31+H42+H50+H57+H66+H74+H88+H98+H108</f>
        <v>2521.204</v>
      </c>
    </row>
  </sheetData>
  <mergeCells count="13">
    <mergeCell ref="A1:H1"/>
    <mergeCell ref="A2:H2"/>
    <mergeCell ref="A4:H4"/>
    <mergeCell ref="A24:H24"/>
    <mergeCell ref="A33:H33"/>
    <mergeCell ref="A44:H44"/>
    <mergeCell ref="A52:H52"/>
    <mergeCell ref="A59:H59"/>
    <mergeCell ref="A68:H68"/>
    <mergeCell ref="A76:H76"/>
    <mergeCell ref="A90:H90"/>
    <mergeCell ref="A100:H100"/>
    <mergeCell ref="A110:G110"/>
  </mergeCells>
  <hyperlinks>
    <hyperlink ref="D6" r:id="rId1" display="Buy ▸"/>
    <hyperlink ref="D7" r:id="rId2" display="Buy ▸"/>
    <hyperlink ref="D8" r:id="rId3" display="Buy ▸"/>
    <hyperlink ref="D9" r:id="rId4" display="Buy ▸"/>
    <hyperlink ref="D10" r:id="rId5" display="Buy ▸"/>
    <hyperlink ref="D11" r:id="rId6" display="Buy ▸"/>
    <hyperlink ref="D12" r:id="rId7" display="Buy ▸"/>
    <hyperlink ref="D13" r:id="rId8" display="Buy ▸"/>
    <hyperlink ref="D14" r:id="rId9" display="Buy ▸"/>
    <hyperlink ref="D15" r:id="rId10" display="Buy ▸"/>
    <hyperlink ref="D16" r:id="rId11" display="Buy ▸"/>
    <hyperlink ref="D17" r:id="rId12" display="Buy ▸"/>
    <hyperlink ref="D18" r:id="rId13" display="Buy ▸"/>
    <hyperlink ref="D19" r:id="rId14" display="Buy ▸"/>
    <hyperlink ref="D20" r:id="rId15" display="Buy ▸"/>
    <hyperlink ref="D21" r:id="rId16" display="Buy ▸"/>
    <hyperlink ref="D26" r:id="rId17" display="Buy ▸"/>
    <hyperlink ref="D27" r:id="rId18" display="Buy ▸"/>
    <hyperlink ref="D28" r:id="rId19" display="Buy ▸"/>
    <hyperlink ref="D29" r:id="rId20" display="Buy ▸"/>
    <hyperlink ref="D30" r:id="rId21" display="Buy ▸"/>
    <hyperlink ref="D35" r:id="rId22" display="Buy ▸"/>
    <hyperlink ref="D36" r:id="rId23" display="Buy ▸"/>
    <hyperlink ref="D37" r:id="rId24" display="Buy ▸"/>
    <hyperlink ref="D38" r:id="rId25" display="Buy ▸"/>
    <hyperlink ref="D39" r:id="rId26" display="Buy ▸"/>
    <hyperlink ref="D40" r:id="rId27" display="Buy ▸"/>
    <hyperlink ref="D41" r:id="rId28" display="Buy ▸"/>
    <hyperlink ref="D46" r:id="rId29" display="Buy ▸"/>
    <hyperlink ref="D47" r:id="rId30" display="Buy ▸"/>
    <hyperlink ref="D48" r:id="rId31" display="Buy ▸"/>
    <hyperlink ref="D49" r:id="rId32" display="Buy ▸"/>
    <hyperlink ref="D54" r:id="rId33" display="Buy ▸"/>
    <hyperlink ref="D55" r:id="rId34" display="Buy ▸"/>
    <hyperlink ref="D56" r:id="rId35" display="Buy ▸"/>
    <hyperlink ref="D61" r:id="rId36" display="Buy ▸"/>
    <hyperlink ref="D62" r:id="rId37" display="Buy ▸"/>
    <hyperlink ref="D63" r:id="rId38" display="Buy ▸"/>
    <hyperlink ref="D64" r:id="rId39" display="Buy ▸"/>
    <hyperlink ref="D65" r:id="rId40" display="Buy ▸"/>
    <hyperlink ref="D70" r:id="rId41" display="Buy ▸"/>
    <hyperlink ref="D71" r:id="rId42" display="Buy ▸"/>
    <hyperlink ref="D72" r:id="rId43" display="Buy ▸"/>
    <hyperlink ref="D73" r:id="rId44" display="Buy ▸"/>
    <hyperlink ref="D78" r:id="rId45" display="Buy ▸"/>
    <hyperlink ref="D79" r:id="rId46" display="Buy ▸"/>
    <hyperlink ref="D80" r:id="rId47" display="Buy ▸"/>
    <hyperlink ref="D81" r:id="rId48" display="Buy ▸"/>
    <hyperlink ref="D82" r:id="rId49" display="Buy ▸"/>
    <hyperlink ref="D83" r:id="rId50" display="Buy ▸"/>
    <hyperlink ref="D84" r:id="rId51" display="Buy ▸"/>
    <hyperlink ref="D85" r:id="rId52" display="Buy ▸"/>
    <hyperlink ref="D86" r:id="rId53" display="Buy ▸"/>
    <hyperlink ref="D87" r:id="rId54" display="Buy ▸"/>
    <hyperlink ref="D92" r:id="rId55" display="Buy ▸"/>
    <hyperlink ref="D93" r:id="rId56" display="Buy ▸"/>
    <hyperlink ref="D94" r:id="rId57" display="Buy ▸"/>
    <hyperlink ref="D95" r:id="rId58" display="Buy ▸"/>
    <hyperlink ref="D96" r:id="rId59" display="Buy ▸"/>
    <hyperlink ref="D97" r:id="rId60" display="Buy ▸"/>
    <hyperlink ref="D102" r:id="rId61" display="Buy ▸"/>
    <hyperlink ref="D103" r:id="rId62" display="Buy ▸"/>
    <hyperlink ref="D104" r:id="rId63" display="Buy ▸"/>
    <hyperlink ref="D105" r:id="rId64" display="Buy ▸"/>
    <hyperlink ref="D106" r:id="rId65" display="Buy ▸"/>
    <hyperlink ref="D107" r:id="rId66" display="Buy ▸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5"/>
  </cols>
  <sheetData>
    <row r="1" customFormat="false" ht="17.35" hidden="false" customHeight="false" outlineLevel="0" collapsed="false">
      <c r="A1" s="16" t="s">
        <v>165</v>
      </c>
      <c r="B1" s="16"/>
    </row>
    <row r="3" customFormat="false" ht="15" hidden="false" customHeight="false" outlineLevel="0" collapsed="false">
      <c r="A3" s="17" t="s">
        <v>166</v>
      </c>
      <c r="B3" s="17" t="s">
        <v>167</v>
      </c>
    </row>
    <row r="4" customFormat="false" ht="15" hidden="false" customHeight="false" outlineLevel="0" collapsed="false">
      <c r="A4" s="8" t="s">
        <v>2</v>
      </c>
      <c r="B4" s="18" t="n">
        <f aca="false">BOM!H22</f>
        <v>398.39</v>
      </c>
    </row>
    <row r="5" customFormat="false" ht="15" hidden="false" customHeight="false" outlineLevel="0" collapsed="false">
      <c r="A5" s="8" t="s">
        <v>49</v>
      </c>
      <c r="B5" s="18" t="n">
        <f aca="false">BOM!H31</f>
        <v>82.97</v>
      </c>
    </row>
    <row r="6" customFormat="false" ht="15" hidden="false" customHeight="false" outlineLevel="0" collapsed="false">
      <c r="A6" s="8" t="s">
        <v>60</v>
      </c>
      <c r="B6" s="18" t="n">
        <f aca="false">BOM!H42</f>
        <v>208.1</v>
      </c>
    </row>
    <row r="7" customFormat="false" ht="15" hidden="false" customHeight="false" outlineLevel="0" collapsed="false">
      <c r="A7" s="8" t="s">
        <v>78</v>
      </c>
      <c r="B7" s="18" t="n">
        <f aca="false">BOM!H50</f>
        <v>70.95</v>
      </c>
    </row>
    <row r="8" customFormat="false" ht="15" hidden="false" customHeight="false" outlineLevel="0" collapsed="false">
      <c r="A8" s="8" t="s">
        <v>87</v>
      </c>
      <c r="B8" s="18" t="n">
        <f aca="false">BOM!H57</f>
        <v>91.92</v>
      </c>
    </row>
    <row r="9" customFormat="false" ht="15" hidden="false" customHeight="false" outlineLevel="0" collapsed="false">
      <c r="A9" s="8" t="s">
        <v>95</v>
      </c>
      <c r="B9" s="18" t="n">
        <f aca="false">BOM!H66</f>
        <v>1081.61</v>
      </c>
    </row>
    <row r="10" customFormat="false" ht="15" hidden="false" customHeight="false" outlineLevel="0" collapsed="false">
      <c r="A10" s="8" t="s">
        <v>107</v>
      </c>
      <c r="B10" s="18" t="n">
        <f aca="false">BOM!H74</f>
        <v>27.072</v>
      </c>
    </row>
    <row r="11" customFormat="false" ht="15" hidden="false" customHeight="false" outlineLevel="0" collapsed="false">
      <c r="A11" s="8" t="s">
        <v>117</v>
      </c>
      <c r="B11" s="18" t="n">
        <f aca="false">BOM!H88</f>
        <v>113.78</v>
      </c>
    </row>
    <row r="12" customFormat="false" ht="15" hidden="false" customHeight="false" outlineLevel="0" collapsed="false">
      <c r="A12" s="8" t="s">
        <v>138</v>
      </c>
      <c r="B12" s="18" t="n">
        <f aca="false">BOM!H98</f>
        <v>223.472</v>
      </c>
    </row>
    <row r="13" customFormat="false" ht="15" hidden="false" customHeight="false" outlineLevel="0" collapsed="false">
      <c r="A13" s="8" t="s">
        <v>151</v>
      </c>
      <c r="B13" s="18" t="n">
        <f aca="false">BOM!H108</f>
        <v>222.94</v>
      </c>
    </row>
    <row r="14" customFormat="false" ht="15" hidden="false" customHeight="false" outlineLevel="0" collapsed="false">
      <c r="A14" s="11" t="s">
        <v>168</v>
      </c>
      <c r="B14" s="19" t="n">
        <f aca="false">SUM(B4:B13)</f>
        <v>2521.204</v>
      </c>
    </row>
    <row r="16" customFormat="false" ht="15" hidden="false" customHeight="false" outlineLevel="0" collapsed="false">
      <c r="A16" s="20" t="s">
        <v>169</v>
      </c>
      <c r="B16" s="21" t="n">
        <f aca="false">'GSE &amp; Test Equip'!H46</f>
        <v>594.9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5"/>
    <col collapsed="false" customWidth="true" hidden="false" outlineLevel="0" max="3" min="3" style="0" width="26"/>
    <col collapsed="false" customWidth="true" hidden="false" outlineLevel="0" max="4" min="4" style="0" width="92"/>
  </cols>
  <sheetData>
    <row r="1" customFormat="false" ht="16.15" hidden="false" customHeight="false" outlineLevel="0" collapsed="false">
      <c r="A1" s="22" t="s">
        <v>170</v>
      </c>
      <c r="B1" s="22"/>
      <c r="C1" s="22"/>
      <c r="D1" s="22"/>
    </row>
    <row r="3" customFormat="false" ht="15" hidden="false" customHeight="false" outlineLevel="0" collapsed="false">
      <c r="A3" s="17" t="s">
        <v>3</v>
      </c>
      <c r="B3" s="17" t="s">
        <v>4</v>
      </c>
      <c r="C3" s="17" t="s">
        <v>5</v>
      </c>
      <c r="D3" s="17" t="s">
        <v>171</v>
      </c>
    </row>
    <row r="4" customFormat="false" ht="15" hidden="false" customHeight="false" outlineLevel="0" collapsed="false">
      <c r="A4" s="8" t="s">
        <v>11</v>
      </c>
      <c r="B4" s="8" t="s">
        <v>12</v>
      </c>
      <c r="C4" s="8" t="s">
        <v>13</v>
      </c>
      <c r="D4" s="23" t="s">
        <v>172</v>
      </c>
    </row>
    <row r="5" customFormat="false" ht="15" hidden="false" customHeight="false" outlineLevel="0" collapsed="false">
      <c r="A5" s="8" t="s">
        <v>16</v>
      </c>
      <c r="B5" s="8" t="s">
        <v>12</v>
      </c>
      <c r="C5" s="8" t="s">
        <v>17</v>
      </c>
      <c r="D5" s="23" t="s">
        <v>173</v>
      </c>
    </row>
    <row r="6" customFormat="false" ht="15" hidden="false" customHeight="false" outlineLevel="0" collapsed="false">
      <c r="A6" s="8" t="s">
        <v>18</v>
      </c>
      <c r="B6" s="8" t="s">
        <v>19</v>
      </c>
      <c r="C6" s="8" t="s">
        <v>20</v>
      </c>
      <c r="D6" s="23" t="s">
        <v>174</v>
      </c>
    </row>
    <row r="7" customFormat="false" ht="15" hidden="false" customHeight="false" outlineLevel="0" collapsed="false">
      <c r="A7" s="8" t="s">
        <v>21</v>
      </c>
      <c r="B7" s="8" t="s">
        <v>12</v>
      </c>
      <c r="C7" s="8" t="s">
        <v>22</v>
      </c>
      <c r="D7" s="23" t="s">
        <v>175</v>
      </c>
    </row>
    <row r="8" customFormat="false" ht="15" hidden="false" customHeight="false" outlineLevel="0" collapsed="false">
      <c r="A8" s="8" t="s">
        <v>23</v>
      </c>
      <c r="B8" s="8" t="s">
        <v>12</v>
      </c>
      <c r="C8" s="8" t="s">
        <v>24</v>
      </c>
      <c r="D8" s="23" t="s">
        <v>176</v>
      </c>
    </row>
    <row r="9" customFormat="false" ht="15" hidden="false" customHeight="false" outlineLevel="0" collapsed="false">
      <c r="A9" s="8" t="s">
        <v>25</v>
      </c>
      <c r="B9" s="8" t="s">
        <v>12</v>
      </c>
      <c r="C9" s="8" t="s">
        <v>26</v>
      </c>
      <c r="D9" s="23" t="s">
        <v>177</v>
      </c>
    </row>
    <row r="10" customFormat="false" ht="15" hidden="false" customHeight="false" outlineLevel="0" collapsed="false">
      <c r="A10" s="8" t="s">
        <v>27</v>
      </c>
      <c r="B10" s="8" t="s">
        <v>12</v>
      </c>
      <c r="C10" s="8" t="s">
        <v>28</v>
      </c>
      <c r="D10" s="23" t="s">
        <v>178</v>
      </c>
    </row>
    <row r="11" customFormat="false" ht="15" hidden="false" customHeight="false" outlineLevel="0" collapsed="false">
      <c r="A11" s="8" t="s">
        <v>29</v>
      </c>
      <c r="B11" s="8" t="s">
        <v>12</v>
      </c>
      <c r="C11" s="8" t="s">
        <v>30</v>
      </c>
      <c r="D11" s="23" t="s">
        <v>179</v>
      </c>
    </row>
    <row r="12" customFormat="false" ht="15" hidden="false" customHeight="false" outlineLevel="0" collapsed="false">
      <c r="A12" s="8" t="s">
        <v>31</v>
      </c>
      <c r="B12" s="8" t="s">
        <v>12</v>
      </c>
      <c r="C12" s="8" t="s">
        <v>32</v>
      </c>
      <c r="D12" s="23" t="s">
        <v>180</v>
      </c>
    </row>
    <row r="13" customFormat="false" ht="15" hidden="false" customHeight="false" outlineLevel="0" collapsed="false">
      <c r="A13" s="8" t="s">
        <v>33</v>
      </c>
      <c r="B13" s="8" t="s">
        <v>12</v>
      </c>
      <c r="C13" s="8" t="s">
        <v>34</v>
      </c>
      <c r="D13" s="23" t="s">
        <v>181</v>
      </c>
    </row>
    <row r="14" customFormat="false" ht="15" hidden="false" customHeight="false" outlineLevel="0" collapsed="false">
      <c r="A14" s="8" t="s">
        <v>35</v>
      </c>
      <c r="B14" s="8" t="s">
        <v>12</v>
      </c>
      <c r="C14" s="8" t="s">
        <v>36</v>
      </c>
      <c r="D14" s="23" t="s">
        <v>182</v>
      </c>
    </row>
    <row r="15" customFormat="false" ht="15" hidden="false" customHeight="false" outlineLevel="0" collapsed="false">
      <c r="A15" s="8" t="s">
        <v>37</v>
      </c>
      <c r="B15" s="8" t="s">
        <v>38</v>
      </c>
      <c r="C15" s="8" t="s">
        <v>39</v>
      </c>
      <c r="D15" s="23" t="s">
        <v>183</v>
      </c>
    </row>
    <row r="16" customFormat="false" ht="15" hidden="false" customHeight="false" outlineLevel="0" collapsed="false">
      <c r="A16" s="8" t="s">
        <v>40</v>
      </c>
      <c r="B16" s="8" t="s">
        <v>12</v>
      </c>
      <c r="C16" s="8" t="s">
        <v>41</v>
      </c>
      <c r="D16" s="23" t="s">
        <v>184</v>
      </c>
    </row>
    <row r="17" customFormat="false" ht="15" hidden="false" customHeight="false" outlineLevel="0" collapsed="false">
      <c r="A17" s="8" t="s">
        <v>42</v>
      </c>
      <c r="B17" s="8" t="s">
        <v>12</v>
      </c>
      <c r="C17" s="8" t="s">
        <v>43</v>
      </c>
      <c r="D17" s="23" t="s">
        <v>185</v>
      </c>
    </row>
    <row r="18" customFormat="false" ht="15" hidden="false" customHeight="false" outlineLevel="0" collapsed="false">
      <c r="A18" s="8" t="s">
        <v>44</v>
      </c>
      <c r="B18" s="8" t="s">
        <v>12</v>
      </c>
      <c r="C18" s="8" t="s">
        <v>45</v>
      </c>
      <c r="D18" s="23" t="s">
        <v>186</v>
      </c>
    </row>
    <row r="19" customFormat="false" ht="15" hidden="false" customHeight="false" outlineLevel="0" collapsed="false">
      <c r="A19" s="8" t="s">
        <v>46</v>
      </c>
      <c r="B19" s="8" t="s">
        <v>38</v>
      </c>
      <c r="C19" s="8" t="s">
        <v>47</v>
      </c>
      <c r="D19" s="23" t="s">
        <v>187</v>
      </c>
    </row>
    <row r="20" customFormat="false" ht="15" hidden="false" customHeight="false" outlineLevel="0" collapsed="false">
      <c r="A20" s="8" t="s">
        <v>50</v>
      </c>
      <c r="B20" s="8" t="s">
        <v>38</v>
      </c>
      <c r="C20" s="8" t="s">
        <v>51</v>
      </c>
      <c r="D20" s="23" t="s">
        <v>188</v>
      </c>
    </row>
    <row r="21" customFormat="false" ht="15" hidden="false" customHeight="false" outlineLevel="0" collapsed="false">
      <c r="A21" s="8" t="s">
        <v>52</v>
      </c>
      <c r="B21" s="8" t="s">
        <v>38</v>
      </c>
      <c r="C21" s="8" t="s">
        <v>53</v>
      </c>
      <c r="D21" s="23" t="s">
        <v>189</v>
      </c>
    </row>
    <row r="22" customFormat="false" ht="15" hidden="false" customHeight="false" outlineLevel="0" collapsed="false">
      <c r="A22" s="8" t="s">
        <v>54</v>
      </c>
      <c r="B22" s="8" t="s">
        <v>38</v>
      </c>
      <c r="C22" s="8" t="s">
        <v>55</v>
      </c>
      <c r="D22" s="23" t="s">
        <v>190</v>
      </c>
    </row>
    <row r="23" customFormat="false" ht="15" hidden="false" customHeight="false" outlineLevel="0" collapsed="false">
      <c r="A23" s="8" t="s">
        <v>56</v>
      </c>
      <c r="B23" s="8" t="s">
        <v>38</v>
      </c>
      <c r="C23" s="8" t="s">
        <v>57</v>
      </c>
      <c r="D23" s="23" t="s">
        <v>191</v>
      </c>
    </row>
    <row r="24" customFormat="false" ht="15" hidden="false" customHeight="false" outlineLevel="0" collapsed="false">
      <c r="A24" s="8" t="s">
        <v>58</v>
      </c>
      <c r="B24" s="8" t="s">
        <v>12</v>
      </c>
      <c r="C24" s="8" t="s">
        <v>59</v>
      </c>
      <c r="D24" s="23" t="s">
        <v>192</v>
      </c>
    </row>
    <row r="25" customFormat="false" ht="15" hidden="false" customHeight="false" outlineLevel="0" collapsed="false">
      <c r="A25" s="8" t="s">
        <v>61</v>
      </c>
      <c r="B25" s="8" t="s">
        <v>62</v>
      </c>
      <c r="C25" s="8" t="s">
        <v>63</v>
      </c>
      <c r="D25" s="23" t="s">
        <v>193</v>
      </c>
    </row>
    <row r="26" customFormat="false" ht="15" hidden="false" customHeight="false" outlineLevel="0" collapsed="false">
      <c r="A26" s="8" t="s">
        <v>64</v>
      </c>
      <c r="B26" s="8" t="s">
        <v>65</v>
      </c>
      <c r="C26" s="8" t="s">
        <v>66</v>
      </c>
      <c r="D26" s="23" t="s">
        <v>194</v>
      </c>
    </row>
    <row r="27" customFormat="false" ht="15" hidden="false" customHeight="false" outlineLevel="0" collapsed="false">
      <c r="A27" s="8" t="s">
        <v>67</v>
      </c>
      <c r="B27" s="8" t="s">
        <v>68</v>
      </c>
      <c r="C27" s="8" t="s">
        <v>69</v>
      </c>
      <c r="D27" s="23" t="s">
        <v>195</v>
      </c>
    </row>
    <row r="28" customFormat="false" ht="15" hidden="false" customHeight="false" outlineLevel="0" collapsed="false">
      <c r="A28" s="8" t="s">
        <v>70</v>
      </c>
      <c r="B28" s="8" t="s">
        <v>62</v>
      </c>
      <c r="C28" s="8" t="s">
        <v>71</v>
      </c>
      <c r="D28" s="23" t="s">
        <v>196</v>
      </c>
    </row>
    <row r="29" customFormat="false" ht="15" hidden="false" customHeight="false" outlineLevel="0" collapsed="false">
      <c r="A29" s="8" t="s">
        <v>72</v>
      </c>
      <c r="B29" s="8" t="s">
        <v>62</v>
      </c>
      <c r="C29" s="8" t="s">
        <v>73</v>
      </c>
      <c r="D29" s="23" t="s">
        <v>197</v>
      </c>
    </row>
    <row r="30" customFormat="false" ht="15" hidden="false" customHeight="false" outlineLevel="0" collapsed="false">
      <c r="A30" s="8" t="s">
        <v>74</v>
      </c>
      <c r="B30" s="8" t="s">
        <v>62</v>
      </c>
      <c r="C30" s="8" t="s">
        <v>75</v>
      </c>
      <c r="D30" s="23" t="s">
        <v>198</v>
      </c>
    </row>
    <row r="31" customFormat="false" ht="15" hidden="false" customHeight="false" outlineLevel="0" collapsed="false">
      <c r="A31" s="8" t="s">
        <v>76</v>
      </c>
      <c r="B31" s="8" t="s">
        <v>62</v>
      </c>
      <c r="C31" s="8" t="s">
        <v>77</v>
      </c>
      <c r="D31" s="23" t="s">
        <v>199</v>
      </c>
    </row>
    <row r="32" customFormat="false" ht="15" hidden="false" customHeight="false" outlineLevel="0" collapsed="false">
      <c r="A32" s="8" t="s">
        <v>79</v>
      </c>
      <c r="B32" s="8" t="s">
        <v>38</v>
      </c>
      <c r="C32" s="8" t="s">
        <v>80</v>
      </c>
      <c r="D32" s="23" t="s">
        <v>200</v>
      </c>
    </row>
    <row r="33" customFormat="false" ht="15" hidden="false" customHeight="false" outlineLevel="0" collapsed="false">
      <c r="A33" s="8" t="s">
        <v>81</v>
      </c>
      <c r="B33" s="8" t="s">
        <v>38</v>
      </c>
      <c r="C33" s="8" t="s">
        <v>82</v>
      </c>
      <c r="D33" s="23" t="s">
        <v>201</v>
      </c>
    </row>
    <row r="34" customFormat="false" ht="15" hidden="false" customHeight="false" outlineLevel="0" collapsed="false">
      <c r="A34" s="8" t="s">
        <v>83</v>
      </c>
      <c r="B34" s="8" t="s">
        <v>38</v>
      </c>
      <c r="C34" s="8" t="s">
        <v>84</v>
      </c>
      <c r="D34" s="23" t="s">
        <v>202</v>
      </c>
    </row>
    <row r="35" customFormat="false" ht="15" hidden="false" customHeight="false" outlineLevel="0" collapsed="false">
      <c r="A35" s="8" t="s">
        <v>85</v>
      </c>
      <c r="B35" s="8" t="s">
        <v>38</v>
      </c>
      <c r="C35" s="8" t="s">
        <v>86</v>
      </c>
      <c r="D35" s="23" t="s">
        <v>203</v>
      </c>
    </row>
    <row r="36" customFormat="false" ht="15" hidden="false" customHeight="false" outlineLevel="0" collapsed="false">
      <c r="A36" s="8" t="s">
        <v>88</v>
      </c>
      <c r="B36" s="8" t="s">
        <v>38</v>
      </c>
      <c r="C36" s="8" t="s">
        <v>89</v>
      </c>
      <c r="D36" s="23" t="s">
        <v>204</v>
      </c>
    </row>
    <row r="37" customFormat="false" ht="15" hidden="false" customHeight="false" outlineLevel="0" collapsed="false">
      <c r="A37" s="8" t="s">
        <v>90</v>
      </c>
      <c r="B37" s="8" t="s">
        <v>12</v>
      </c>
      <c r="C37" s="8" t="s">
        <v>91</v>
      </c>
      <c r="D37" s="23" t="s">
        <v>205</v>
      </c>
    </row>
    <row r="38" customFormat="false" ht="15" hidden="false" customHeight="false" outlineLevel="0" collapsed="false">
      <c r="A38" s="8" t="s">
        <v>92</v>
      </c>
      <c r="B38" s="8" t="s">
        <v>93</v>
      </c>
      <c r="C38" s="8" t="s">
        <v>94</v>
      </c>
      <c r="D38" s="23" t="s">
        <v>206</v>
      </c>
    </row>
    <row r="39" customFormat="false" ht="15" hidden="false" customHeight="false" outlineLevel="0" collapsed="false">
      <c r="A39" s="8" t="s">
        <v>96</v>
      </c>
      <c r="B39" s="8" t="s">
        <v>62</v>
      </c>
      <c r="C39" s="8" t="s">
        <v>97</v>
      </c>
      <c r="D39" s="23" t="s">
        <v>207</v>
      </c>
    </row>
    <row r="40" customFormat="false" ht="15" hidden="false" customHeight="false" outlineLevel="0" collapsed="false">
      <c r="A40" s="8" t="s">
        <v>98</v>
      </c>
      <c r="B40" s="8" t="s">
        <v>62</v>
      </c>
      <c r="C40" s="8" t="s">
        <v>99</v>
      </c>
      <c r="D40" s="23" t="s">
        <v>208</v>
      </c>
    </row>
    <row r="41" customFormat="false" ht="15" hidden="false" customHeight="false" outlineLevel="0" collapsed="false">
      <c r="A41" s="8" t="s">
        <v>101</v>
      </c>
      <c r="B41" s="8" t="s">
        <v>62</v>
      </c>
      <c r="C41" s="8" t="s">
        <v>102</v>
      </c>
      <c r="D41" s="23" t="s">
        <v>209</v>
      </c>
    </row>
    <row r="42" customFormat="false" ht="15" hidden="false" customHeight="false" outlineLevel="0" collapsed="false">
      <c r="A42" s="8" t="s">
        <v>103</v>
      </c>
      <c r="B42" s="8" t="s">
        <v>62</v>
      </c>
      <c r="C42" s="8" t="s">
        <v>104</v>
      </c>
      <c r="D42" s="23" t="s">
        <v>210</v>
      </c>
    </row>
    <row r="43" customFormat="false" ht="15" hidden="false" customHeight="false" outlineLevel="0" collapsed="false">
      <c r="A43" s="8" t="s">
        <v>105</v>
      </c>
      <c r="B43" s="8" t="s">
        <v>68</v>
      </c>
      <c r="C43" s="8" t="s">
        <v>106</v>
      </c>
      <c r="D43" s="23" t="s">
        <v>211</v>
      </c>
    </row>
    <row r="44" customFormat="false" ht="15" hidden="false" customHeight="false" outlineLevel="0" collapsed="false">
      <c r="A44" s="8" t="s">
        <v>108</v>
      </c>
      <c r="B44" s="8" t="s">
        <v>109</v>
      </c>
      <c r="C44" s="8" t="s">
        <v>110</v>
      </c>
      <c r="D44" s="23" t="s">
        <v>212</v>
      </c>
    </row>
    <row r="45" customFormat="false" ht="15" hidden="false" customHeight="false" outlineLevel="0" collapsed="false">
      <c r="A45" s="8" t="s">
        <v>111</v>
      </c>
      <c r="B45" s="8" t="s">
        <v>109</v>
      </c>
      <c r="C45" s="8" t="s">
        <v>112</v>
      </c>
      <c r="D45" s="23" t="s">
        <v>213</v>
      </c>
    </row>
    <row r="46" customFormat="false" ht="15" hidden="false" customHeight="false" outlineLevel="0" collapsed="false">
      <c r="A46" s="8" t="s">
        <v>113</v>
      </c>
      <c r="B46" s="8" t="s">
        <v>109</v>
      </c>
      <c r="C46" s="8" t="s">
        <v>114</v>
      </c>
      <c r="D46" s="23" t="s">
        <v>214</v>
      </c>
    </row>
    <row r="47" customFormat="false" ht="15" hidden="false" customHeight="false" outlineLevel="0" collapsed="false">
      <c r="A47" s="8" t="s">
        <v>115</v>
      </c>
      <c r="B47" s="8" t="s">
        <v>109</v>
      </c>
      <c r="C47" s="8" t="s">
        <v>116</v>
      </c>
      <c r="D47" s="23" t="s">
        <v>215</v>
      </c>
    </row>
    <row r="48" customFormat="false" ht="15" hidden="false" customHeight="false" outlineLevel="0" collapsed="false">
      <c r="A48" s="8" t="s">
        <v>118</v>
      </c>
      <c r="B48" s="8" t="s">
        <v>12</v>
      </c>
      <c r="C48" s="8" t="s">
        <v>119</v>
      </c>
      <c r="D48" s="23" t="s">
        <v>216</v>
      </c>
    </row>
    <row r="49" customFormat="false" ht="15" hidden="false" customHeight="false" outlineLevel="0" collapsed="false">
      <c r="A49" s="8" t="s">
        <v>120</v>
      </c>
      <c r="B49" s="8" t="s">
        <v>12</v>
      </c>
      <c r="C49" s="8" t="s">
        <v>121</v>
      </c>
      <c r="D49" s="23" t="s">
        <v>217</v>
      </c>
    </row>
    <row r="50" customFormat="false" ht="15" hidden="false" customHeight="false" outlineLevel="0" collapsed="false">
      <c r="A50" s="8" t="s">
        <v>122</v>
      </c>
      <c r="B50" s="8" t="s">
        <v>38</v>
      </c>
      <c r="C50" s="8" t="s">
        <v>123</v>
      </c>
      <c r="D50" s="23" t="s">
        <v>218</v>
      </c>
    </row>
    <row r="51" customFormat="false" ht="15" hidden="false" customHeight="false" outlineLevel="0" collapsed="false">
      <c r="A51" s="8" t="s">
        <v>124</v>
      </c>
      <c r="B51" s="8" t="s">
        <v>38</v>
      </c>
      <c r="C51" s="8" t="s">
        <v>125</v>
      </c>
      <c r="D51" s="23" t="s">
        <v>219</v>
      </c>
    </row>
    <row r="52" customFormat="false" ht="15" hidden="false" customHeight="false" outlineLevel="0" collapsed="false">
      <c r="A52" s="8" t="s">
        <v>126</v>
      </c>
      <c r="B52" s="8" t="s">
        <v>38</v>
      </c>
      <c r="C52" s="8" t="s">
        <v>127</v>
      </c>
      <c r="D52" s="23" t="s">
        <v>220</v>
      </c>
    </row>
    <row r="53" customFormat="false" ht="15" hidden="false" customHeight="false" outlineLevel="0" collapsed="false">
      <c r="A53" s="8" t="s">
        <v>128</v>
      </c>
      <c r="B53" s="8" t="s">
        <v>38</v>
      </c>
      <c r="C53" s="8" t="s">
        <v>129</v>
      </c>
      <c r="D53" s="23" t="s">
        <v>221</v>
      </c>
    </row>
    <row r="54" customFormat="false" ht="15" hidden="false" customHeight="false" outlineLevel="0" collapsed="false">
      <c r="A54" s="8" t="s">
        <v>130</v>
      </c>
      <c r="B54" s="8" t="s">
        <v>38</v>
      </c>
      <c r="C54" s="8" t="s">
        <v>131</v>
      </c>
      <c r="D54" s="23" t="s">
        <v>222</v>
      </c>
    </row>
    <row r="55" customFormat="false" ht="15" hidden="false" customHeight="false" outlineLevel="0" collapsed="false">
      <c r="A55" s="8" t="s">
        <v>132</v>
      </c>
      <c r="B55" s="8" t="s">
        <v>38</v>
      </c>
      <c r="C55" s="8" t="s">
        <v>133</v>
      </c>
      <c r="D55" s="23" t="s">
        <v>223</v>
      </c>
    </row>
    <row r="56" customFormat="false" ht="15" hidden="false" customHeight="false" outlineLevel="0" collapsed="false">
      <c r="A56" s="8" t="s">
        <v>134</v>
      </c>
      <c r="B56" s="8" t="s">
        <v>38</v>
      </c>
      <c r="C56" s="8" t="s">
        <v>135</v>
      </c>
      <c r="D56" s="23" t="s">
        <v>224</v>
      </c>
    </row>
    <row r="57" customFormat="false" ht="15" hidden="false" customHeight="false" outlineLevel="0" collapsed="false">
      <c r="A57" s="8" t="s">
        <v>136</v>
      </c>
      <c r="B57" s="8" t="s">
        <v>38</v>
      </c>
      <c r="C57" s="8" t="s">
        <v>137</v>
      </c>
      <c r="D57" s="23" t="s">
        <v>225</v>
      </c>
    </row>
    <row r="58" customFormat="false" ht="15" hidden="false" customHeight="false" outlineLevel="0" collapsed="false">
      <c r="A58" s="8" t="s">
        <v>139</v>
      </c>
      <c r="B58" s="8" t="s">
        <v>38</v>
      </c>
      <c r="C58" s="8" t="s">
        <v>140</v>
      </c>
      <c r="D58" s="23" t="s">
        <v>226</v>
      </c>
    </row>
    <row r="59" customFormat="false" ht="15" hidden="false" customHeight="false" outlineLevel="0" collapsed="false">
      <c r="A59" s="8" t="s">
        <v>141</v>
      </c>
      <c r="B59" s="8" t="s">
        <v>12</v>
      </c>
      <c r="C59" s="8" t="s">
        <v>142</v>
      </c>
      <c r="D59" s="23" t="s">
        <v>227</v>
      </c>
    </row>
    <row r="60" customFormat="false" ht="15" hidden="false" customHeight="false" outlineLevel="0" collapsed="false">
      <c r="A60" s="8" t="s">
        <v>144</v>
      </c>
      <c r="B60" s="8" t="s">
        <v>93</v>
      </c>
      <c r="C60" s="8" t="s">
        <v>145</v>
      </c>
      <c r="D60" s="23" t="s">
        <v>206</v>
      </c>
    </row>
    <row r="61" customFormat="false" ht="15" hidden="false" customHeight="false" outlineLevel="0" collapsed="false">
      <c r="A61" s="8" t="s">
        <v>146</v>
      </c>
      <c r="B61" s="8" t="s">
        <v>68</v>
      </c>
      <c r="C61" s="8" t="s">
        <v>147</v>
      </c>
      <c r="D61" s="23" t="s">
        <v>228</v>
      </c>
    </row>
    <row r="62" customFormat="false" ht="15" hidden="false" customHeight="false" outlineLevel="0" collapsed="false">
      <c r="A62" s="8" t="s">
        <v>148</v>
      </c>
      <c r="B62" s="8" t="s">
        <v>38</v>
      </c>
      <c r="C62" s="8" t="s">
        <v>149</v>
      </c>
      <c r="D62" s="23" t="s">
        <v>229</v>
      </c>
    </row>
    <row r="63" customFormat="false" ht="15" hidden="false" customHeight="false" outlineLevel="0" collapsed="false">
      <c r="A63" s="8" t="s">
        <v>150</v>
      </c>
      <c r="B63" s="8" t="s">
        <v>109</v>
      </c>
      <c r="C63" s="8" t="s">
        <v>116</v>
      </c>
      <c r="D63" s="23" t="s">
        <v>215</v>
      </c>
    </row>
    <row r="64" customFormat="false" ht="15" hidden="false" customHeight="false" outlineLevel="0" collapsed="false">
      <c r="A64" s="8" t="s">
        <v>152</v>
      </c>
      <c r="B64" s="8" t="s">
        <v>38</v>
      </c>
      <c r="C64" s="8" t="s">
        <v>153</v>
      </c>
      <c r="D64" s="23" t="s">
        <v>230</v>
      </c>
    </row>
    <row r="65" customFormat="false" ht="15" hidden="false" customHeight="false" outlineLevel="0" collapsed="false">
      <c r="A65" s="8" t="s">
        <v>154</v>
      </c>
      <c r="B65" s="8" t="s">
        <v>38</v>
      </c>
      <c r="C65" s="8" t="s">
        <v>155</v>
      </c>
      <c r="D65" s="23" t="s">
        <v>231</v>
      </c>
    </row>
    <row r="66" customFormat="false" ht="15" hidden="false" customHeight="false" outlineLevel="0" collapsed="false">
      <c r="A66" s="8" t="s">
        <v>156</v>
      </c>
      <c r="B66" s="8" t="s">
        <v>38</v>
      </c>
      <c r="C66" s="8" t="s">
        <v>157</v>
      </c>
      <c r="D66" s="23" t="s">
        <v>232</v>
      </c>
    </row>
    <row r="67" customFormat="false" ht="15" hidden="false" customHeight="false" outlineLevel="0" collapsed="false">
      <c r="A67" s="8" t="s">
        <v>158</v>
      </c>
      <c r="B67" s="8" t="s">
        <v>38</v>
      </c>
      <c r="C67" s="8" t="s">
        <v>159</v>
      </c>
      <c r="D67" s="23" t="s">
        <v>233</v>
      </c>
    </row>
    <row r="68" customFormat="false" ht="15" hidden="false" customHeight="false" outlineLevel="0" collapsed="false">
      <c r="A68" s="8" t="s">
        <v>160</v>
      </c>
      <c r="B68" s="8" t="s">
        <v>38</v>
      </c>
      <c r="C68" s="8" t="s">
        <v>161</v>
      </c>
      <c r="D68" s="23" t="s">
        <v>234</v>
      </c>
    </row>
    <row r="69" customFormat="false" ht="15" hidden="false" customHeight="false" outlineLevel="0" collapsed="false">
      <c r="A69" s="8" t="s">
        <v>162</v>
      </c>
      <c r="B69" s="8" t="s">
        <v>38</v>
      </c>
      <c r="C69" s="8" t="s">
        <v>163</v>
      </c>
      <c r="D69" s="23" t="s">
        <v>235</v>
      </c>
    </row>
  </sheetData>
  <mergeCells count="1">
    <mergeCell ref="A1:D1"/>
  </mergeCells>
  <hyperlinks>
    <hyperlink ref="D4" r:id="rId1" display="https://www.adafruit.com/product/5812"/>
    <hyperlink ref="D5" r:id="rId2" display="https://www.adafruit.com/product/5815"/>
    <hyperlink ref="D6" r:id="rId3" display="https://www.pjrc.com/store/teensy40.html"/>
    <hyperlink ref="D7" r:id="rId4" display="https://www.adafruit.com/product/5657"/>
    <hyperlink ref="D8" r:id="rId5" display="https://www.adafruit.com/product/5818"/>
    <hyperlink ref="D9" r:id="rId6" display="https://www.adafruit.com/product/4754"/>
    <hyperlink ref="D10" r:id="rId7" display="https://www.adafruit.com/product/4692"/>
    <hyperlink ref="D11" r:id="rId8" display="https://www.adafruit.com/product/4488"/>
    <hyperlink ref="D12" r:id="rId9" display="https://www.adafruit.com/product/2651"/>
    <hyperlink ref="D13" r:id="rId10" display="https://www.adafruit.com/product/5046"/>
    <hyperlink ref="D14" r:id="rId11" display="https://www.adafruit.com/product/4682"/>
    <hyperlink ref="D15" r:id="rId12" display="https://www.amazon.com/dp/B08GY9NYRM"/>
    <hyperlink ref="D16" r:id="rId13" display="https://www.adafruit.com/product/2717"/>
    <hyperlink ref="D17" r:id="rId14" display="https://www.adafruit.com/product/2310"/>
    <hyperlink ref="D18" r:id="rId15" display="https://www.adafruit.com/product/2223"/>
    <hyperlink ref="D19" r:id="rId16" display="https://www.amazon.com/LAFVIN-Board-ATmega328P-Micro-Controller-Arduino/dp/B07G99NNXL"/>
    <hyperlink ref="D20" r:id="rId17" display="https://www.amazon.com/Battery-Helicopter-Quadcopter-3S3000-30-XT60-EFLB30003S30/dp/B013TKVHPO"/>
    <hyperlink ref="D21" r:id="rId18" display="https://www.amazon.com/Ruitutedianzi-Bidirectional-Charging-Buck-Boost-Interface/dp/B0DP6CGN33"/>
    <hyperlink ref="D22" r:id="rId19" display="https://www.amazon.com/Converter-DROK-Regulator-Inverter-Transformer/dp/B01NALDSJ0"/>
    <hyperlink ref="D23" r:id="rId20" display="https://www.amazon.com/Converter-DROK-Regulator-Transformer-Protection/dp/B07FL6PBZF"/>
    <hyperlink ref="D24" r:id="rId21" display="https://www.adafruit.com/product/3218"/>
    <hyperlink ref="D25" r:id="rId22" display="https://www.apogeerockets.com/index.php?cpath=&amp;main_page=product_info&amp;products_id=2048"/>
    <hyperlink ref="D26" r:id="rId23" display="https://jollylogic.com/products/altimetertwo/"/>
    <hyperlink ref="D27" r:id="rId24" display="https://estesrockets.com/products/rip-stop-parachute"/>
    <hyperlink ref="D28" r:id="rId25" display="https://www.apogeerockets.com/Building-Supplies/Shock-Cord/Kevlar-Shock-Cord-4500-30-feet-long-2-loops"/>
    <hyperlink ref="D29" r:id="rId26" display="https://www.apogeerockets.com/index.php?main_page=product_info&amp;products_id=2449"/>
    <hyperlink ref="D30" r:id="rId27" display="https://www.apogeerockets.com/Ejection_Systems/Ejection_Canisters/Ejection_Canister_Caps_2_pk"/>
    <hyperlink ref="D31" r:id="rId28" display="https://www.apogeerockets.com/Ejection_Systems"/>
    <hyperlink ref="D32" r:id="rId29" display="https://www.amazon.com/dp/B0CTG4X882"/>
    <hyperlink ref="D33" r:id="rId30" display="https://www.amazon.com/dp/B01I1J14MO"/>
    <hyperlink ref="D34" r:id="rId31" display="https://www.amazon.com/dp/B0FC2CQF24"/>
    <hyperlink ref="D35" r:id="rId32" display="https://www.amazon.com/dp/B093G7WYY9"/>
    <hyperlink ref="D36" r:id="rId33" display="https://www.amazon.com/ANNIMOS-Waterproof-Torque-Digital-Steering/dp/B0BBB8DBRR"/>
    <hyperlink ref="D37" r:id="rId34" display="https://www.adafruit.com/product/815"/>
    <hyperlink ref="D38" r:id="rId35" display="https://www.mcmaster.com/"/>
    <hyperlink ref="D39" r:id="rId36" display="https://www.apogeerockets.com/Rocket_Motors/AeroTech_Motors/29mm_Propellant_Kits/29_120_Motors/Aerotech_29mm_Propellant_Kit_G25W-10"/>
    <hyperlink ref="D40" r:id="rId37" display="https://www.apogeerockets.com/Rocket_Motors/AeroTech_Motors/29mm_Propellant_Kits/29_40-120/Aerotech_Motor_F52T-8"/>
    <hyperlink ref="D41" r:id="rId38" display="https://www.apogeerockets.com/Rocket_Motors/Rouse-Tech_Casings/29mm_Casings/RMS-29_40-120"/>
    <hyperlink ref="D42" r:id="rId39" display="https://www.apogeerockets.com/index.php?main_page=product_info&amp;products_id=578"/>
    <hyperlink ref="D43" r:id="rId40" display="https://estesrockets.com/products/e12-0-engines"/>
    <hyperlink ref="D44" r:id="rId41" display="https://us.store.bambulab.com/products/petg-cf"/>
    <hyperlink ref="D45" r:id="rId42" display="https://us.store.bambulab.com/products/asa-aero"/>
    <hyperlink ref="D46" r:id="rId43" display="https://us.store.bambulab.com/products/pc-fr"/>
    <hyperlink ref="D47" r:id="rId44" display="https://us.store.bambulab.com/products/pla-basic-filament"/>
    <hyperlink ref="D48" r:id="rId45" display="https://www.adafruit.com/product/4209"/>
    <hyperlink ref="D49" r:id="rId46" display="https://www.adafruit.com/product/4397"/>
    <hyperlink ref="D50" r:id="rId47" display="https://www.amazon.com/dp/B07G2BWBX8"/>
    <hyperlink ref="D51" r:id="rId48" display="https://www.amazon.com/dp/B0C1VDKPW2"/>
    <hyperlink ref="D52" r:id="rId49" display="https://www.amazon.com/dp/B01MT921QT"/>
    <hyperlink ref="D53" r:id="rId50" display="https://www.amazon.com/dp/B072Z92QZ2"/>
    <hyperlink ref="D54" r:id="rId51" display="https://www.amazon.com/dp/B071H5XC7C"/>
    <hyperlink ref="D55" r:id="rId52" display="https://www.amazon.com/dp/B07PHBTTGV"/>
    <hyperlink ref="D56" r:id="rId53" display="https://www.amazon.com/dp/B000XBH9HI"/>
    <hyperlink ref="D57" r:id="rId54" display="https://www.amazon.com/dp/B0B5VNG2YT"/>
    <hyperlink ref="D58" r:id="rId55" display="https://www.amazon.com/NOYITO-10kg-20kg-HX711-Combo/dp/B07BGS58TL"/>
    <hyperlink ref="D59" r:id="rId56" display="https://www.adafruit.com/product/3382"/>
    <hyperlink ref="D60" r:id="rId57" display="https://www.mcmaster.com/"/>
    <hyperlink ref="D61" r:id="rId58" display="https://estesrockets.com/products/pro-series-ii-launch-controller?variant=44470327574833"/>
    <hyperlink ref="D62" r:id="rId59" display="https://www.amazon.com/80-20-1010-S-T-Slotted-Extrusion/dp/B01LWISXZL"/>
    <hyperlink ref="D63" r:id="rId60" display="https://us.store.bambulab.com/products/pla-basic-filament"/>
    <hyperlink ref="D64" r:id="rId61" display="https://www.amazon.com/Soldering-Iron-Kit-Temperature-Desoldering/dp/B07Q2B4ZY9"/>
    <hyperlink ref="D65" r:id="rId62" display="https://www.amazon.com/AstroAI-Multimeter-Resistance-Transistors-Temperature/dp/B071JL6LLL"/>
    <hyperlink ref="D66" r:id="rId63" display="https://www.amazon.com/SainSmart-Magnetic-Soldering-Magnifying-Flexible/dp/B09B73XL33"/>
    <hyperlink ref="D67" r:id="rId64" display="https://www.amazon.com/iFixit-Pro-Tech-Toolkit-Electronics/dp/B01GF0KV6G"/>
    <hyperlink ref="D68" r:id="rId65" display="https://www.amazon.com/Neiko-01407A-Electronic-Digital-Stainless/dp/B000GSLKIW"/>
    <hyperlink ref="D69" r:id="rId66" display="https://www.amazon.com/dp/B08ZRT496D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24" width="54"/>
    <col collapsed="false" customWidth="true" hidden="false" outlineLevel="0" max="2" min="2" style="24" width="14"/>
    <col collapsed="false" customWidth="true" hidden="false" outlineLevel="0" max="3" min="3" style="24" width="22"/>
    <col collapsed="false" customWidth="true" hidden="false" outlineLevel="0" max="4" min="4" style="24" width="10"/>
    <col collapsed="false" customWidth="true" hidden="false" outlineLevel="0" max="5" min="5" style="24" width="12"/>
    <col collapsed="false" customWidth="true" hidden="false" outlineLevel="0" max="6" min="6" style="24" width="6"/>
    <col collapsed="false" customWidth="true" hidden="false" outlineLevel="0" max="7" min="7" style="24" width="10"/>
    <col collapsed="false" customWidth="true" hidden="false" outlineLevel="0" max="8" min="8" style="24" width="11"/>
  </cols>
  <sheetData>
    <row r="1" customFormat="false" ht="21.75" hidden="false" customHeight="true" outlineLevel="0" collapsed="false">
      <c r="A1" s="22" t="s">
        <v>236</v>
      </c>
      <c r="B1" s="22"/>
      <c r="C1" s="22"/>
      <c r="D1" s="22"/>
      <c r="E1" s="22"/>
      <c r="F1" s="22"/>
      <c r="G1" s="22"/>
      <c r="H1" s="22"/>
    </row>
    <row r="2" customFormat="false" ht="27.75" hidden="false" customHeight="true" outlineLevel="0" collapsed="false">
      <c r="A2" s="2" t="s">
        <v>237</v>
      </c>
      <c r="B2" s="2"/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A4" s="3" t="s">
        <v>238</v>
      </c>
      <c r="B4" s="3"/>
      <c r="C4" s="3"/>
      <c r="D4" s="3"/>
      <c r="E4" s="3"/>
      <c r="F4" s="3"/>
      <c r="G4" s="3"/>
      <c r="H4" s="3"/>
    </row>
    <row r="5" customFormat="false" ht="1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5" t="s">
        <v>239</v>
      </c>
      <c r="F5" s="5" t="s">
        <v>8</v>
      </c>
      <c r="G5" s="5" t="s">
        <v>9</v>
      </c>
      <c r="H5" s="5" t="s">
        <v>10</v>
      </c>
    </row>
    <row r="6" customFormat="false" ht="23.25" hidden="false" customHeight="true" outlineLevel="0" collapsed="false">
      <c r="A6" s="6" t="s">
        <v>240</v>
      </c>
      <c r="B6" s="7" t="s">
        <v>38</v>
      </c>
      <c r="C6" s="25" t="s">
        <v>241</v>
      </c>
      <c r="D6" s="9" t="s">
        <v>14</v>
      </c>
      <c r="E6" s="26" t="s">
        <v>242</v>
      </c>
      <c r="F6" s="7" t="n">
        <v>1</v>
      </c>
      <c r="G6" s="27" t="n">
        <v>89</v>
      </c>
      <c r="H6" s="27" t="n">
        <f aca="false">F6*G6</f>
        <v>89</v>
      </c>
    </row>
    <row r="7" customFormat="false" ht="15" hidden="false" customHeight="true" outlineLevel="0" collapsed="false">
      <c r="A7" s="6" t="s">
        <v>243</v>
      </c>
      <c r="B7" s="7" t="s">
        <v>38</v>
      </c>
      <c r="C7" s="25" t="s">
        <v>244</v>
      </c>
      <c r="D7" s="9" t="s">
        <v>14</v>
      </c>
      <c r="E7" s="26" t="s">
        <v>242</v>
      </c>
      <c r="F7" s="7" t="n">
        <v>1</v>
      </c>
      <c r="G7" s="27" t="n">
        <v>12</v>
      </c>
      <c r="H7" s="27" t="n">
        <f aca="false">F7*G7</f>
        <v>12</v>
      </c>
    </row>
    <row r="8" customFormat="false" ht="15" hidden="false" customHeight="true" outlineLevel="0" collapsed="false">
      <c r="A8" s="28" t="s">
        <v>48</v>
      </c>
      <c r="B8" s="29"/>
      <c r="C8" s="29"/>
      <c r="D8" s="29"/>
      <c r="E8" s="29"/>
      <c r="F8" s="29"/>
      <c r="G8" s="29"/>
      <c r="H8" s="30" t="n">
        <f aca="false">SUM(H6:H7)</f>
        <v>101</v>
      </c>
    </row>
    <row r="10" customFormat="false" ht="15" hidden="false" customHeight="true" outlineLevel="0" collapsed="false">
      <c r="A10" s="3" t="s">
        <v>245</v>
      </c>
      <c r="B10" s="3"/>
      <c r="C10" s="3"/>
      <c r="D10" s="3"/>
      <c r="E10" s="3"/>
      <c r="F10" s="3"/>
      <c r="G10" s="3"/>
      <c r="H10" s="3"/>
    </row>
    <row r="11" customFormat="false" ht="15" hidden="false" customHeight="true" outlineLevel="0" collapsed="false">
      <c r="A11" s="4" t="s">
        <v>3</v>
      </c>
      <c r="B11" s="4" t="s">
        <v>4</v>
      </c>
      <c r="C11" s="4" t="s">
        <v>5</v>
      </c>
      <c r="D11" s="4" t="s">
        <v>6</v>
      </c>
      <c r="E11" s="5" t="s">
        <v>239</v>
      </c>
      <c r="F11" s="5" t="s">
        <v>8</v>
      </c>
      <c r="G11" s="5" t="s">
        <v>9</v>
      </c>
      <c r="H11" s="5" t="s">
        <v>10</v>
      </c>
    </row>
    <row r="12" customFormat="false" ht="23.25" hidden="false" customHeight="true" outlineLevel="0" collapsed="false">
      <c r="A12" s="6" t="s">
        <v>246</v>
      </c>
      <c r="B12" s="7" t="s">
        <v>38</v>
      </c>
      <c r="C12" s="25" t="s">
        <v>247</v>
      </c>
      <c r="D12" s="9" t="s">
        <v>14</v>
      </c>
      <c r="E12" s="31" t="s">
        <v>248</v>
      </c>
      <c r="F12" s="7" t="n">
        <v>1</v>
      </c>
      <c r="G12" s="27" t="n">
        <v>39</v>
      </c>
      <c r="H12" s="27" t="n">
        <f aca="false">F12*G12</f>
        <v>39</v>
      </c>
    </row>
    <row r="13" customFormat="false" ht="15" hidden="false" customHeight="true" outlineLevel="0" collapsed="false">
      <c r="A13" s="6" t="s">
        <v>249</v>
      </c>
      <c r="B13" s="7" t="s">
        <v>38</v>
      </c>
      <c r="C13" s="25" t="s">
        <v>250</v>
      </c>
      <c r="D13" s="9" t="s">
        <v>14</v>
      </c>
      <c r="E13" s="31" t="s">
        <v>248</v>
      </c>
      <c r="F13" s="7" t="n">
        <v>1</v>
      </c>
      <c r="G13" s="27" t="n">
        <v>18.99</v>
      </c>
      <c r="H13" s="27" t="n">
        <f aca="false">F13*G13</f>
        <v>18.99</v>
      </c>
    </row>
    <row r="14" customFormat="false" ht="15" hidden="false" customHeight="true" outlineLevel="0" collapsed="false">
      <c r="A14" s="6" t="s">
        <v>251</v>
      </c>
      <c r="B14" s="7" t="s">
        <v>38</v>
      </c>
      <c r="C14" s="25" t="s">
        <v>252</v>
      </c>
      <c r="D14" s="9" t="s">
        <v>14</v>
      </c>
      <c r="E14" s="31" t="s">
        <v>248</v>
      </c>
      <c r="F14" s="7" t="n">
        <v>1</v>
      </c>
      <c r="G14" s="27" t="n">
        <v>11.99</v>
      </c>
      <c r="H14" s="27" t="n">
        <f aca="false">F14*G14</f>
        <v>11.99</v>
      </c>
    </row>
    <row r="15" customFormat="false" ht="15" hidden="false" customHeight="true" outlineLevel="0" collapsed="false">
      <c r="A15" s="28" t="s">
        <v>48</v>
      </c>
      <c r="B15" s="29"/>
      <c r="C15" s="29"/>
      <c r="D15" s="29"/>
      <c r="E15" s="29"/>
      <c r="F15" s="29"/>
      <c r="G15" s="29"/>
      <c r="H15" s="30" t="n">
        <f aca="false">SUM(H12:H14)</f>
        <v>69.98</v>
      </c>
    </row>
    <row r="17" customFormat="false" ht="15" hidden="false" customHeight="true" outlineLevel="0" collapsed="false">
      <c r="A17" s="3" t="s">
        <v>253</v>
      </c>
      <c r="B17" s="3"/>
      <c r="C17" s="3"/>
      <c r="D17" s="3"/>
      <c r="E17" s="3"/>
      <c r="F17" s="3"/>
      <c r="G17" s="3"/>
      <c r="H17" s="3"/>
    </row>
    <row r="18" customFormat="false" ht="15" hidden="false" customHeight="true" outlineLevel="0" collapsed="false">
      <c r="A18" s="4" t="s">
        <v>3</v>
      </c>
      <c r="B18" s="4" t="s">
        <v>4</v>
      </c>
      <c r="C18" s="4" t="s">
        <v>5</v>
      </c>
      <c r="D18" s="4" t="s">
        <v>6</v>
      </c>
      <c r="E18" s="5" t="s">
        <v>239</v>
      </c>
      <c r="F18" s="5" t="s">
        <v>8</v>
      </c>
      <c r="G18" s="5" t="s">
        <v>9</v>
      </c>
      <c r="H18" s="5" t="s">
        <v>10</v>
      </c>
    </row>
    <row r="19" customFormat="false" ht="15" hidden="false" customHeight="true" outlineLevel="0" collapsed="false">
      <c r="A19" s="6" t="s">
        <v>254</v>
      </c>
      <c r="B19" s="7" t="s">
        <v>38</v>
      </c>
      <c r="C19" s="25" t="s">
        <v>255</v>
      </c>
      <c r="D19" s="9" t="s">
        <v>14</v>
      </c>
      <c r="E19" s="31" t="s">
        <v>256</v>
      </c>
      <c r="F19" s="7" t="n">
        <v>2</v>
      </c>
      <c r="G19" s="27" t="n">
        <v>11</v>
      </c>
      <c r="H19" s="27" t="n">
        <f aca="false">F19*G19</f>
        <v>22</v>
      </c>
    </row>
    <row r="20" customFormat="false" ht="15" hidden="false" customHeight="true" outlineLevel="0" collapsed="false">
      <c r="A20" s="6" t="s">
        <v>257</v>
      </c>
      <c r="B20" s="7" t="s">
        <v>38</v>
      </c>
      <c r="C20" s="25" t="s">
        <v>258</v>
      </c>
      <c r="D20" s="9" t="s">
        <v>14</v>
      </c>
      <c r="E20" s="31" t="s">
        <v>256</v>
      </c>
      <c r="F20" s="7" t="n">
        <v>1</v>
      </c>
      <c r="G20" s="27" t="n">
        <v>11</v>
      </c>
      <c r="H20" s="27" t="n">
        <f aca="false">F20*G20</f>
        <v>11</v>
      </c>
    </row>
    <row r="21" customFormat="false" ht="23.25" hidden="false" customHeight="true" outlineLevel="0" collapsed="false">
      <c r="A21" s="6" t="s">
        <v>259</v>
      </c>
      <c r="B21" s="7" t="s">
        <v>38</v>
      </c>
      <c r="C21" s="25" t="s">
        <v>260</v>
      </c>
      <c r="D21" s="9" t="s">
        <v>14</v>
      </c>
      <c r="E21" s="31" t="s">
        <v>256</v>
      </c>
      <c r="F21" s="7" t="n">
        <v>1</v>
      </c>
      <c r="G21" s="27" t="n">
        <v>13.99</v>
      </c>
      <c r="H21" s="27" t="n">
        <f aca="false">F21*G21</f>
        <v>13.99</v>
      </c>
    </row>
    <row r="22" customFormat="false" ht="15" hidden="false" customHeight="true" outlineLevel="0" collapsed="false">
      <c r="A22" s="6" t="s">
        <v>261</v>
      </c>
      <c r="B22" s="7" t="s">
        <v>38</v>
      </c>
      <c r="C22" s="25" t="s">
        <v>262</v>
      </c>
      <c r="D22" s="9" t="s">
        <v>14</v>
      </c>
      <c r="E22" s="31" t="s">
        <v>256</v>
      </c>
      <c r="F22" s="7" t="n">
        <v>1</v>
      </c>
      <c r="G22" s="27" t="n">
        <v>8.99</v>
      </c>
      <c r="H22" s="27" t="n">
        <f aca="false">F22*G22</f>
        <v>8.99</v>
      </c>
    </row>
    <row r="23" customFormat="false" ht="15" hidden="false" customHeight="true" outlineLevel="0" collapsed="false">
      <c r="A23" s="6" t="s">
        <v>263</v>
      </c>
      <c r="B23" s="7" t="s">
        <v>38</v>
      </c>
      <c r="C23" s="25" t="s">
        <v>264</v>
      </c>
      <c r="D23" s="9" t="s">
        <v>14</v>
      </c>
      <c r="E23" s="31" t="s">
        <v>256</v>
      </c>
      <c r="F23" s="7" t="n">
        <v>1</v>
      </c>
      <c r="G23" s="27" t="n">
        <v>9.99</v>
      </c>
      <c r="H23" s="27" t="n">
        <f aca="false">F23*G23</f>
        <v>9.99</v>
      </c>
    </row>
    <row r="24" customFormat="false" ht="15" hidden="false" customHeight="true" outlineLevel="0" collapsed="false">
      <c r="A24" s="6" t="s">
        <v>265</v>
      </c>
      <c r="B24" s="7" t="s">
        <v>38</v>
      </c>
      <c r="C24" s="25" t="s">
        <v>266</v>
      </c>
      <c r="D24" s="9" t="s">
        <v>14</v>
      </c>
      <c r="E24" s="31" t="s">
        <v>267</v>
      </c>
      <c r="F24" s="7" t="n">
        <v>1</v>
      </c>
      <c r="G24" s="27" t="n">
        <v>9.99</v>
      </c>
      <c r="H24" s="27" t="n">
        <f aca="false">F24*G24</f>
        <v>9.99</v>
      </c>
    </row>
    <row r="25" customFormat="false" ht="15" hidden="false" customHeight="true" outlineLevel="0" collapsed="false">
      <c r="A25" s="6" t="s">
        <v>268</v>
      </c>
      <c r="B25" s="7" t="s">
        <v>269</v>
      </c>
      <c r="C25" s="25" t="s">
        <v>270</v>
      </c>
      <c r="D25" s="9" t="s">
        <v>14</v>
      </c>
      <c r="E25" s="31" t="s">
        <v>256</v>
      </c>
      <c r="F25" s="7" t="n">
        <v>1</v>
      </c>
      <c r="G25" s="27" t="n">
        <v>29</v>
      </c>
      <c r="H25" s="27" t="n">
        <f aca="false">F25*G25</f>
        <v>29</v>
      </c>
    </row>
    <row r="26" customFormat="false" ht="15" hidden="false" customHeight="true" outlineLevel="0" collapsed="false">
      <c r="A26" s="6" t="s">
        <v>271</v>
      </c>
      <c r="B26" s="7" t="s">
        <v>38</v>
      </c>
      <c r="C26" s="25" t="s">
        <v>272</v>
      </c>
      <c r="D26" s="9" t="s">
        <v>14</v>
      </c>
      <c r="E26" s="31" t="s">
        <v>267</v>
      </c>
      <c r="F26" s="7" t="n">
        <v>1</v>
      </c>
      <c r="G26" s="27" t="n">
        <v>12</v>
      </c>
      <c r="H26" s="27" t="n">
        <f aca="false">F26*G26</f>
        <v>12</v>
      </c>
    </row>
    <row r="27" customFormat="false" ht="15" hidden="false" customHeight="true" outlineLevel="0" collapsed="false">
      <c r="A27" s="28" t="s">
        <v>48</v>
      </c>
      <c r="B27" s="29"/>
      <c r="C27" s="29"/>
      <c r="D27" s="29"/>
      <c r="E27" s="29"/>
      <c r="F27" s="29"/>
      <c r="G27" s="29"/>
      <c r="H27" s="30" t="n">
        <f aca="false">SUM(H19:H26)</f>
        <v>116.96</v>
      </c>
    </row>
    <row r="29" customFormat="false" ht="15" hidden="false" customHeight="true" outlineLevel="0" collapsed="false">
      <c r="A29" s="3" t="s">
        <v>273</v>
      </c>
      <c r="B29" s="3"/>
      <c r="C29" s="3"/>
      <c r="D29" s="3"/>
      <c r="E29" s="3"/>
      <c r="F29" s="3"/>
      <c r="G29" s="3"/>
      <c r="H29" s="3"/>
    </row>
    <row r="30" customFormat="false" ht="15" hidden="false" customHeight="true" outlineLevel="0" collapsed="false">
      <c r="A30" s="4" t="s">
        <v>3</v>
      </c>
      <c r="B30" s="4" t="s">
        <v>4</v>
      </c>
      <c r="C30" s="4" t="s">
        <v>5</v>
      </c>
      <c r="D30" s="4" t="s">
        <v>6</v>
      </c>
      <c r="E30" s="5" t="s">
        <v>239</v>
      </c>
      <c r="F30" s="5" t="s">
        <v>8</v>
      </c>
      <c r="G30" s="5" t="s">
        <v>9</v>
      </c>
      <c r="H30" s="5" t="s">
        <v>10</v>
      </c>
    </row>
    <row r="31" customFormat="false" ht="15" hidden="false" customHeight="true" outlineLevel="0" collapsed="false">
      <c r="A31" s="6" t="s">
        <v>274</v>
      </c>
      <c r="B31" s="7" t="s">
        <v>38</v>
      </c>
      <c r="C31" s="25" t="s">
        <v>275</v>
      </c>
      <c r="D31" s="9" t="s">
        <v>14</v>
      </c>
      <c r="E31" s="31" t="s">
        <v>267</v>
      </c>
      <c r="F31" s="7" t="n">
        <v>1</v>
      </c>
      <c r="G31" s="27" t="n">
        <v>14.99</v>
      </c>
      <c r="H31" s="27" t="n">
        <f aca="false">F31*G31</f>
        <v>14.99</v>
      </c>
    </row>
    <row r="32" customFormat="false" ht="15" hidden="false" customHeight="true" outlineLevel="0" collapsed="false">
      <c r="A32" s="6" t="s">
        <v>276</v>
      </c>
      <c r="B32" s="7" t="s">
        <v>38</v>
      </c>
      <c r="C32" s="25" t="s">
        <v>277</v>
      </c>
      <c r="D32" s="9" t="s">
        <v>14</v>
      </c>
      <c r="E32" s="31" t="s">
        <v>267</v>
      </c>
      <c r="F32" s="7" t="n">
        <v>1</v>
      </c>
      <c r="G32" s="27" t="n">
        <v>15</v>
      </c>
      <c r="H32" s="27" t="n">
        <f aca="false">F32*G32</f>
        <v>15</v>
      </c>
    </row>
    <row r="33" customFormat="false" ht="15" hidden="false" customHeight="true" outlineLevel="0" collapsed="false">
      <c r="A33" s="6" t="s">
        <v>278</v>
      </c>
      <c r="B33" s="7" t="s">
        <v>38</v>
      </c>
      <c r="C33" s="25" t="s">
        <v>279</v>
      </c>
      <c r="D33" s="9" t="s">
        <v>14</v>
      </c>
      <c r="E33" s="31" t="s">
        <v>267</v>
      </c>
      <c r="F33" s="7" t="n">
        <v>1</v>
      </c>
      <c r="G33" s="27" t="n">
        <v>39</v>
      </c>
      <c r="H33" s="27" t="n">
        <f aca="false">F33*G33</f>
        <v>39</v>
      </c>
    </row>
    <row r="34" customFormat="false" ht="15" hidden="false" customHeight="true" outlineLevel="0" collapsed="false">
      <c r="A34" s="6" t="s">
        <v>280</v>
      </c>
      <c r="B34" s="7" t="s">
        <v>38</v>
      </c>
      <c r="C34" s="25" t="s">
        <v>281</v>
      </c>
      <c r="D34" s="9" t="s">
        <v>14</v>
      </c>
      <c r="E34" s="31" t="s">
        <v>267</v>
      </c>
      <c r="F34" s="7" t="n">
        <v>1</v>
      </c>
      <c r="G34" s="27" t="n">
        <v>90</v>
      </c>
      <c r="H34" s="27" t="n">
        <f aca="false">F34*G34</f>
        <v>90</v>
      </c>
    </row>
    <row r="35" customFormat="false" ht="15" hidden="false" customHeight="true" outlineLevel="0" collapsed="false">
      <c r="A35" s="6" t="s">
        <v>282</v>
      </c>
      <c r="B35" s="7" t="s">
        <v>283</v>
      </c>
      <c r="C35" s="25" t="s">
        <v>284</v>
      </c>
      <c r="D35" s="9" t="s">
        <v>14</v>
      </c>
      <c r="E35" s="31" t="s">
        <v>267</v>
      </c>
      <c r="F35" s="7" t="n">
        <v>1</v>
      </c>
      <c r="G35" s="27" t="n">
        <v>100</v>
      </c>
      <c r="H35" s="27" t="n">
        <f aca="false">F35*G35</f>
        <v>100</v>
      </c>
    </row>
    <row r="36" customFormat="false" ht="15" hidden="false" customHeight="true" outlineLevel="0" collapsed="false">
      <c r="A36" s="28" t="s">
        <v>48</v>
      </c>
      <c r="B36" s="29"/>
      <c r="C36" s="29"/>
      <c r="D36" s="29"/>
      <c r="E36" s="29"/>
      <c r="F36" s="29"/>
      <c r="G36" s="29"/>
      <c r="H36" s="30" t="n">
        <f aca="false">SUM(H31:H35)</f>
        <v>258.99</v>
      </c>
    </row>
    <row r="38" customFormat="false" ht="15" hidden="false" customHeight="true" outlineLevel="0" collapsed="false">
      <c r="A38" s="3" t="s">
        <v>285</v>
      </c>
      <c r="B38" s="3"/>
      <c r="C38" s="3"/>
      <c r="D38" s="3"/>
      <c r="E38" s="3"/>
      <c r="F38" s="3"/>
      <c r="G38" s="3"/>
      <c r="H38" s="3"/>
    </row>
    <row r="39" customFormat="false" ht="15" hidden="false" customHeight="true" outlineLevel="0" collapsed="false">
      <c r="A39" s="4" t="s">
        <v>3</v>
      </c>
      <c r="B39" s="4" t="s">
        <v>4</v>
      </c>
      <c r="C39" s="4" t="s">
        <v>5</v>
      </c>
      <c r="D39" s="4" t="s">
        <v>6</v>
      </c>
      <c r="E39" s="5" t="s">
        <v>239</v>
      </c>
      <c r="F39" s="5" t="s">
        <v>8</v>
      </c>
      <c r="G39" s="5" t="s">
        <v>9</v>
      </c>
      <c r="H39" s="5" t="s">
        <v>10</v>
      </c>
    </row>
    <row r="40" customFormat="false" ht="15" hidden="false" customHeight="true" outlineLevel="0" collapsed="false">
      <c r="A40" s="6" t="s">
        <v>286</v>
      </c>
      <c r="B40" s="7" t="s">
        <v>38</v>
      </c>
      <c r="C40" s="25" t="s">
        <v>287</v>
      </c>
      <c r="D40" s="9" t="s">
        <v>14</v>
      </c>
      <c r="E40" s="31" t="s">
        <v>256</v>
      </c>
      <c r="F40" s="7" t="n">
        <v>1</v>
      </c>
      <c r="G40" s="27" t="n">
        <v>10.99</v>
      </c>
      <c r="H40" s="27" t="n">
        <f aca="false">F40*G40</f>
        <v>10.99</v>
      </c>
    </row>
    <row r="41" customFormat="false" ht="15" hidden="false" customHeight="true" outlineLevel="0" collapsed="false">
      <c r="A41" s="6" t="s">
        <v>288</v>
      </c>
      <c r="B41" s="7" t="s">
        <v>38</v>
      </c>
      <c r="C41" s="25" t="s">
        <v>289</v>
      </c>
      <c r="D41" s="9" t="s">
        <v>14</v>
      </c>
      <c r="E41" s="31" t="s">
        <v>256</v>
      </c>
      <c r="F41" s="7" t="n">
        <v>2</v>
      </c>
      <c r="G41" s="27" t="n">
        <v>10.99</v>
      </c>
      <c r="H41" s="27" t="n">
        <f aca="false">F41*G41</f>
        <v>21.98</v>
      </c>
    </row>
    <row r="42" customFormat="false" ht="15" hidden="false" customHeight="true" outlineLevel="0" collapsed="false">
      <c r="A42" s="6" t="s">
        <v>290</v>
      </c>
      <c r="B42" s="7" t="s">
        <v>93</v>
      </c>
      <c r="C42" s="25" t="s">
        <v>291</v>
      </c>
      <c r="D42" s="9" t="s">
        <v>14</v>
      </c>
      <c r="E42" s="31" t="s">
        <v>256</v>
      </c>
      <c r="F42" s="7" t="n">
        <v>1</v>
      </c>
      <c r="G42" s="27" t="n">
        <v>15</v>
      </c>
      <c r="H42" s="27" t="n">
        <f aca="false">F42*G42</f>
        <v>15</v>
      </c>
    </row>
    <row r="43" customFormat="false" ht="15" hidden="false" customHeight="true" outlineLevel="0" collapsed="false">
      <c r="A43" s="6" t="s">
        <v>292</v>
      </c>
      <c r="B43" s="7" t="s">
        <v>293</v>
      </c>
      <c r="C43" s="25" t="s">
        <v>294</v>
      </c>
      <c r="D43" s="32" t="s">
        <v>293</v>
      </c>
      <c r="E43" s="31" t="s">
        <v>295</v>
      </c>
      <c r="F43" s="7" t="n">
        <v>0</v>
      </c>
      <c r="G43" s="27" t="n">
        <v>0</v>
      </c>
      <c r="H43" s="27" t="n">
        <f aca="false">F43*G43</f>
        <v>0</v>
      </c>
    </row>
    <row r="44" customFormat="false" ht="15" hidden="false" customHeight="true" outlineLevel="0" collapsed="false">
      <c r="A44" s="28" t="s">
        <v>48</v>
      </c>
      <c r="B44" s="29"/>
      <c r="C44" s="29"/>
      <c r="D44" s="29"/>
      <c r="E44" s="29"/>
      <c r="F44" s="29"/>
      <c r="G44" s="29"/>
      <c r="H44" s="30" t="n">
        <f aca="false">SUM(H40:H43)</f>
        <v>47.97</v>
      </c>
    </row>
    <row r="46" customFormat="false" ht="15" hidden="false" customHeight="true" outlineLevel="0" collapsed="false">
      <c r="A46" s="33" t="s">
        <v>296</v>
      </c>
      <c r="B46" s="33"/>
      <c r="C46" s="33"/>
      <c r="D46" s="33"/>
      <c r="E46" s="33"/>
      <c r="F46" s="33"/>
      <c r="G46" s="33"/>
      <c r="H46" s="34" t="n">
        <f aca="false">H8+H15+H27+H36+H44</f>
        <v>594.9</v>
      </c>
    </row>
  </sheetData>
  <mergeCells count="8">
    <mergeCell ref="A1:H1"/>
    <mergeCell ref="A2:H2"/>
    <mergeCell ref="A4:H4"/>
    <mergeCell ref="A10:H10"/>
    <mergeCell ref="A17:H17"/>
    <mergeCell ref="A29:H29"/>
    <mergeCell ref="A38:H38"/>
    <mergeCell ref="A46:G46"/>
  </mergeCells>
  <hyperlinks>
    <hyperlink ref="D6" r:id="rId1" display="Buy ▸"/>
    <hyperlink ref="D7" r:id="rId2" display="Buy ▸"/>
    <hyperlink ref="D12" r:id="rId3" display="Buy ▸"/>
    <hyperlink ref="D13" r:id="rId4" display="Buy ▸"/>
    <hyperlink ref="D14" r:id="rId5" display="Buy ▸"/>
    <hyperlink ref="D19" r:id="rId6" display="Buy ▸"/>
    <hyperlink ref="D20" r:id="rId7" display="Buy ▸"/>
    <hyperlink ref="D21" r:id="rId8" display="Buy ▸"/>
    <hyperlink ref="D22" r:id="rId9" display="Buy ▸"/>
    <hyperlink ref="D23" r:id="rId10" display="Buy ▸"/>
    <hyperlink ref="D24" r:id="rId11" display="Buy ▸"/>
    <hyperlink ref="D25" r:id="rId12" display="Buy ▸"/>
    <hyperlink ref="D26" r:id="rId13" display="Buy ▸"/>
    <hyperlink ref="D31" r:id="rId14" display="Buy ▸"/>
    <hyperlink ref="D32" r:id="rId15" display="Buy ▸"/>
    <hyperlink ref="D33" r:id="rId16" display="Buy ▸"/>
    <hyperlink ref="D34" r:id="rId17" display="Buy ▸"/>
    <hyperlink ref="D35" r:id="rId18" display="Buy ▸"/>
    <hyperlink ref="D40" r:id="rId19" display="Buy ▸"/>
    <hyperlink ref="D41" r:id="rId20" display="Buy ▸"/>
    <hyperlink ref="D42" r:id="rId21" display="Buy ▸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2026-06-21T02:57:38Z</dcterms:created>
  <dc:creator>openpyxl</dc:creator>
  <dc:description/>
  <dc:language>en-US</dc:language>
  <cp:lastModifiedBy/>
  <dcterms:modified xsi:type="dcterms:W3CDTF">2026-06-21T16:19:56Z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