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Polar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<sst xmlns="http://schemas.openxmlformats.org/spreadsheetml/2006/main" count="120" uniqueCount="20">
  <si>
    <t xml:space="preserve">GTR70E WYVERN 2.0 — Fin Airfoil Polars (vortex panel CFD)</t>
  </si>
  <si>
    <t xml:space="preserve">Profile</t>
  </si>
  <si>
    <t xml:space="preserve">dCl/dα [/deg] (0–6°)</t>
  </si>
  <si>
    <t xml:space="preserve">Cl @ 5°</t>
  </si>
  <si>
    <t xml:space="preserve">Best L/D (flight)</t>
  </si>
  <si>
    <t xml:space="preserve">NACA0006</t>
  </si>
  <si>
    <t xml:space="preserve">NACA0012</t>
  </si>
  <si>
    <t xml:space="preserve">double_wedge</t>
  </si>
  <si>
    <t xml:space="preserve">flat_plate</t>
  </si>
  <si>
    <t xml:space="preserve">Thin-airfoil benchmark dCl/dα = 2π/rad = 0.1097/deg. Panel method is inviscid: Cl &amp; Cp only;</t>
  </si>
  <si>
    <t xml:space="preserve">viscous Cd is a flat-plate-friction estimate. Real Cd/stall come from the RQ1/RQ2 wind tunnel.</t>
  </si>
  <si>
    <t xml:space="preserve">profile</t>
  </si>
  <si>
    <t xml:space="preserve">alpha_deg</t>
  </si>
  <si>
    <t xml:space="preserve">tc</t>
  </si>
  <si>
    <t xml:space="preserve">Cl_panel</t>
  </si>
  <si>
    <t xml:space="preserve">Cl_thin</t>
  </si>
  <si>
    <t xml:space="preserve">Cd_tunnel</t>
  </si>
  <si>
    <t xml:space="preserve">Cd_flight</t>
  </si>
  <si>
    <t xml:space="preserve">LD_tunnel</t>
  </si>
  <si>
    <t xml:space="preserve">LD_flight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</si>
</sst>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0"/>
    <numFmt numFmtId="166" formatCode="0.000"/>
    <numFmt numFmtId="167" formatCode="0.0"/>
    <numFmt numFmtId="168" formatCode="0.000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80808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0"/>
    <col collapsed="false" customWidth="true" hidden="false" outlineLevel="0" max="3" min="3" style="1" width="12"/>
    <col collapsed="false" customWidth="true" hidden="false" outlineLevel="0" max="4" min="4" style="1" width="16"/>
  </cols>
  <sheetData>
    <row r="1" customFormat="false" ht="15.75" hidden="false" customHeight="true" outlineLevel="0" collapsed="false">
      <c r="A1" s="2" t="s">
        <v>0</v>
      </c>
      <c r="B1" s="2"/>
      <c r="C1" s="2"/>
      <c r="D1" s="2"/>
    </row>
    <row r="2" customFormat="false" ht="15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</row>
    <row r="3" customFormat="false" ht="15" hidden="false" customHeight="true" outlineLevel="0" collapsed="false">
      <c r="A3" s="4" t="s">
        <v>5</v>
      </c>
      <c r="B3" s="5" t="n">
        <f aca="false">SLOPE(Polars!D2:D14,Polars!B2:B14)</f>
        <v>0.114583516483517</v>
      </c>
      <c r="C3" s="6" t="n">
        <f aca="false">INDEX(Polars!D2:D26,MATCH(5,Polars!B2:B26,0))</f>
        <v>0.5732</v>
      </c>
      <c r="D3" s="7" t="n">
        <f aca="false">MAX(Polars!I2:I26)</f>
        <v>267.84</v>
      </c>
    </row>
    <row r="4" customFormat="false" ht="15" hidden="false" customHeight="true" outlineLevel="0" collapsed="false">
      <c r="A4" s="4" t="s">
        <v>6</v>
      </c>
      <c r="B4" s="5" t="n">
        <f aca="false">SLOPE(Polars!D27:D39,Polars!B27:B39)</f>
        <v>0.120183516483516</v>
      </c>
      <c r="C4" s="6" t="n">
        <f aca="false">INDEX(Polars!D27:D51,MATCH(5,Polars!B27:B51,0))</f>
        <v>0.6012</v>
      </c>
      <c r="D4" s="7" t="n">
        <f aca="false">MAX(Polars!I27:I51)</f>
        <v>251.39</v>
      </c>
    </row>
    <row r="5" customFormat="false" ht="15" hidden="false" customHeight="true" outlineLevel="0" collapsed="false">
      <c r="A5" s="4" t="s">
        <v>7</v>
      </c>
      <c r="B5" s="5" t="n">
        <f aca="false">SLOPE(Polars!D52:D64,Polars!B52:B64)</f>
        <v>0.115435164835165</v>
      </c>
      <c r="C5" s="6" t="n">
        <f aca="false">INDEX(Polars!D52:D76,MATCH(5,Polars!B52:B76,0))</f>
        <v>0.5774</v>
      </c>
      <c r="D5" s="7" t="n">
        <f aca="false">MAX(Polars!I52:I76)</f>
        <v>241.44</v>
      </c>
    </row>
    <row r="6" customFormat="false" ht="15" hidden="false" customHeight="true" outlineLevel="0" collapsed="false">
      <c r="A6" s="4" t="s">
        <v>8</v>
      </c>
      <c r="B6" s="5" t="n">
        <f aca="false">SLOPE(Polars!D77:D89,Polars!B77:B89)</f>
        <v>0.112276923076923</v>
      </c>
      <c r="C6" s="6" t="n">
        <f aca="false">INDEX(Polars!D77:D101,MATCH(5,Polars!B77:B101,0))</f>
        <v>0.5616</v>
      </c>
      <c r="D6" s="7" t="n">
        <f aca="false">MAX(Polars!I77:I101)</f>
        <v>277.47</v>
      </c>
    </row>
    <row r="9" customFormat="false" ht="15" hidden="false" customHeight="true" outlineLevel="0" collapsed="false">
      <c r="A9" s="8" t="s">
        <v>9</v>
      </c>
    </row>
    <row r="10" customFormat="false" ht="15" hidden="false" customHeight="true" outlineLevel="0" collapsed="false">
      <c r="A10" s="8" t="s">
        <v>10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  <col collapsed="false" customWidth="true" hidden="false" outlineLevel="0" max="3" min="3" style="1" width="10"/>
    <col collapsed="false" customWidth="true" hidden="false" outlineLevel="0" max="4" min="4" style="1" width="11"/>
    <col collapsed="false" customWidth="true" hidden="false" outlineLevel="0" max="5" min="5" style="1" width="10"/>
    <col collapsed="false" customWidth="true" hidden="false" outlineLevel="0" max="9" min="6" style="1" width="12"/>
  </cols>
  <sheetData>
    <row r="1" customFormat="false" ht="15" hidden="false" customHeight="true" outlineLevel="0" collapsed="false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16</v>
      </c>
      <c r="G1" s="9" t="s">
        <v>17</v>
      </c>
      <c r="H1" s="9" t="s">
        <v>18</v>
      </c>
      <c r="I1" s="9" t="s">
        <v>19</v>
      </c>
    </row>
    <row r="2" customFormat="false" ht="15" hidden="false" customHeight="true" outlineLevel="0" collapsed="false">
      <c r="A2" s="10" t="s">
        <v>5</v>
      </c>
      <c r="B2" s="11" t="n">
        <v>0</v>
      </c>
      <c r="C2" s="12" t="n">
        <v>0.06</v>
      </c>
      <c r="D2" s="13" t="n">
        <v>0</v>
      </c>
      <c r="E2" s="13" t="n">
        <v>0</v>
      </c>
      <c r="F2" s="14" t="n">
        <v>0.00666</v>
      </c>
      <c r="G2" s="14" t="n">
        <v>0.00511</v>
      </c>
      <c r="H2" s="11" t="n">
        <v>0</v>
      </c>
      <c r="I2" s="11" t="n">
        <v>0</v>
      </c>
    </row>
    <row r="3" customFormat="false" ht="15" hidden="false" customHeight="true" outlineLevel="0" collapsed="false">
      <c r="A3" s="10" t="s">
        <v>5</v>
      </c>
      <c r="B3" s="11" t="n">
        <v>0.5</v>
      </c>
      <c r="C3" s="12" t="n">
        <v>0.06</v>
      </c>
      <c r="D3" s="13" t="n">
        <v>0.0574</v>
      </c>
      <c r="E3" s="13" t="n">
        <v>0.0548</v>
      </c>
      <c r="F3" s="14" t="n">
        <v>0.00666</v>
      </c>
      <c r="G3" s="14" t="n">
        <v>0.00511</v>
      </c>
      <c r="H3" s="11" t="n">
        <v>8.62</v>
      </c>
      <c r="I3" s="11" t="n">
        <v>11.24</v>
      </c>
    </row>
    <row r="4" customFormat="false" ht="15" hidden="false" customHeight="true" outlineLevel="0" collapsed="false">
      <c r="A4" s="10" t="s">
        <v>5</v>
      </c>
      <c r="B4" s="11" t="n">
        <v>1</v>
      </c>
      <c r="C4" s="12" t="n">
        <v>0.06</v>
      </c>
      <c r="D4" s="13" t="n">
        <v>0.1148</v>
      </c>
      <c r="E4" s="13" t="n">
        <v>0.1097</v>
      </c>
      <c r="F4" s="14" t="n">
        <v>0.00666</v>
      </c>
      <c r="G4" s="14" t="n">
        <v>0.00511</v>
      </c>
      <c r="H4" s="11" t="n">
        <v>17.24</v>
      </c>
      <c r="I4" s="11" t="n">
        <v>22.48</v>
      </c>
    </row>
    <row r="5" customFormat="false" ht="15" hidden="false" customHeight="true" outlineLevel="0" collapsed="false">
      <c r="A5" s="10" t="s">
        <v>5</v>
      </c>
      <c r="B5" s="11" t="n">
        <v>1.5</v>
      </c>
      <c r="C5" s="12" t="n">
        <v>0.06</v>
      </c>
      <c r="D5" s="13" t="n">
        <v>0.1722</v>
      </c>
      <c r="E5" s="13" t="n">
        <v>0.1645</v>
      </c>
      <c r="F5" s="14" t="n">
        <v>0.00666</v>
      </c>
      <c r="G5" s="14" t="n">
        <v>0.00511</v>
      </c>
      <c r="H5" s="11" t="n">
        <v>25.86</v>
      </c>
      <c r="I5" s="11" t="n">
        <v>33.72</v>
      </c>
    </row>
    <row r="6" customFormat="false" ht="15" hidden="false" customHeight="true" outlineLevel="0" collapsed="false">
      <c r="A6" s="10" t="s">
        <v>5</v>
      </c>
      <c r="B6" s="11" t="n">
        <v>2</v>
      </c>
      <c r="C6" s="12" t="n">
        <v>0.06</v>
      </c>
      <c r="D6" s="13" t="n">
        <v>0.2295</v>
      </c>
      <c r="E6" s="13" t="n">
        <v>0.2193</v>
      </c>
      <c r="F6" s="14" t="n">
        <v>0.00666</v>
      </c>
      <c r="G6" s="14" t="n">
        <v>0.00511</v>
      </c>
      <c r="H6" s="11" t="n">
        <v>34.48</v>
      </c>
      <c r="I6" s="11" t="n">
        <v>44.96</v>
      </c>
    </row>
    <row r="7" customFormat="false" ht="15" hidden="false" customHeight="true" outlineLevel="0" collapsed="false">
      <c r="A7" s="10" t="s">
        <v>5</v>
      </c>
      <c r="B7" s="11" t="n">
        <v>2.5</v>
      </c>
      <c r="C7" s="12" t="n">
        <v>0.06</v>
      </c>
      <c r="D7" s="13" t="n">
        <v>0.2869</v>
      </c>
      <c r="E7" s="13" t="n">
        <v>0.2742</v>
      </c>
      <c r="F7" s="14" t="n">
        <v>0.00666</v>
      </c>
      <c r="G7" s="14" t="n">
        <v>0.00511</v>
      </c>
      <c r="H7" s="11" t="n">
        <v>43.1</v>
      </c>
      <c r="I7" s="11" t="n">
        <v>56.19</v>
      </c>
    </row>
    <row r="8" customFormat="false" ht="15" hidden="false" customHeight="true" outlineLevel="0" collapsed="false">
      <c r="A8" s="10" t="s">
        <v>5</v>
      </c>
      <c r="B8" s="11" t="n">
        <v>3</v>
      </c>
      <c r="C8" s="12" t="n">
        <v>0.06</v>
      </c>
      <c r="D8" s="13" t="n">
        <v>0.3442</v>
      </c>
      <c r="E8" s="13" t="n">
        <v>0.329</v>
      </c>
      <c r="F8" s="14" t="n">
        <v>0.00666</v>
      </c>
      <c r="G8" s="14" t="n">
        <v>0.00511</v>
      </c>
      <c r="H8" s="11" t="n">
        <v>51.71</v>
      </c>
      <c r="I8" s="11" t="n">
        <v>67.42</v>
      </c>
    </row>
    <row r="9" customFormat="false" ht="15" hidden="false" customHeight="true" outlineLevel="0" collapsed="false">
      <c r="A9" s="10" t="s">
        <v>5</v>
      </c>
      <c r="B9" s="11" t="n">
        <v>3.5</v>
      </c>
      <c r="C9" s="12" t="n">
        <v>0.06</v>
      </c>
      <c r="D9" s="13" t="n">
        <v>0.4015</v>
      </c>
      <c r="E9" s="13" t="n">
        <v>0.3838</v>
      </c>
      <c r="F9" s="14" t="n">
        <v>0.00666</v>
      </c>
      <c r="G9" s="14" t="n">
        <v>0.00511</v>
      </c>
      <c r="H9" s="11" t="n">
        <v>60.32</v>
      </c>
      <c r="I9" s="11" t="n">
        <v>78.64</v>
      </c>
    </row>
    <row r="10" customFormat="false" ht="15" hidden="false" customHeight="true" outlineLevel="0" collapsed="false">
      <c r="A10" s="10" t="s">
        <v>5</v>
      </c>
      <c r="B10" s="11" t="n">
        <v>4</v>
      </c>
      <c r="C10" s="12" t="n">
        <v>0.06</v>
      </c>
      <c r="D10" s="13" t="n">
        <v>0.4588</v>
      </c>
      <c r="E10" s="13" t="n">
        <v>0.4386</v>
      </c>
      <c r="F10" s="14" t="n">
        <v>0.00666</v>
      </c>
      <c r="G10" s="14" t="n">
        <v>0.00511</v>
      </c>
      <c r="H10" s="11" t="n">
        <v>68.92</v>
      </c>
      <c r="I10" s="11" t="n">
        <v>89.86</v>
      </c>
    </row>
    <row r="11" customFormat="false" ht="15" hidden="false" customHeight="true" outlineLevel="0" collapsed="false">
      <c r="A11" s="10" t="s">
        <v>5</v>
      </c>
      <c r="B11" s="11" t="n">
        <v>4.5</v>
      </c>
      <c r="C11" s="12" t="n">
        <v>0.06</v>
      </c>
      <c r="D11" s="13" t="n">
        <v>0.516</v>
      </c>
      <c r="E11" s="13" t="n">
        <v>0.4935</v>
      </c>
      <c r="F11" s="14" t="n">
        <v>0.00666</v>
      </c>
      <c r="G11" s="14" t="n">
        <v>0.00511</v>
      </c>
      <c r="H11" s="11" t="n">
        <v>77.52</v>
      </c>
      <c r="I11" s="11" t="n">
        <v>101.07</v>
      </c>
    </row>
    <row r="12" customFormat="false" ht="15" hidden="false" customHeight="true" outlineLevel="0" collapsed="false">
      <c r="A12" s="10" t="s">
        <v>5</v>
      </c>
      <c r="B12" s="11" t="n">
        <v>5</v>
      </c>
      <c r="C12" s="12" t="n">
        <v>0.06</v>
      </c>
      <c r="D12" s="13" t="n">
        <v>0.5732</v>
      </c>
      <c r="E12" s="13" t="n">
        <v>0.5483</v>
      </c>
      <c r="F12" s="14" t="n">
        <v>0.00666</v>
      </c>
      <c r="G12" s="14" t="n">
        <v>0.00511</v>
      </c>
      <c r="H12" s="11" t="n">
        <v>86.11</v>
      </c>
      <c r="I12" s="11" t="n">
        <v>112.28</v>
      </c>
    </row>
    <row r="13" customFormat="false" ht="15" hidden="false" customHeight="true" outlineLevel="0" collapsed="false">
      <c r="A13" s="10" t="s">
        <v>5</v>
      </c>
      <c r="B13" s="11" t="n">
        <v>5.5</v>
      </c>
      <c r="C13" s="12" t="n">
        <v>0.06</v>
      </c>
      <c r="D13" s="13" t="n">
        <v>0.6303</v>
      </c>
      <c r="E13" s="13" t="n">
        <v>0.6031</v>
      </c>
      <c r="F13" s="14" t="n">
        <v>0.00666</v>
      </c>
      <c r="G13" s="14" t="n">
        <v>0.00511</v>
      </c>
      <c r="H13" s="11" t="n">
        <v>94.7</v>
      </c>
      <c r="I13" s="11" t="n">
        <v>123.47</v>
      </c>
    </row>
    <row r="14" customFormat="false" ht="15" hidden="false" customHeight="true" outlineLevel="0" collapsed="false">
      <c r="A14" s="10" t="s">
        <v>5</v>
      </c>
      <c r="B14" s="11" t="n">
        <v>6</v>
      </c>
      <c r="C14" s="12" t="n">
        <v>0.06</v>
      </c>
      <c r="D14" s="13" t="n">
        <v>0.6874</v>
      </c>
      <c r="E14" s="13" t="n">
        <v>0.658</v>
      </c>
      <c r="F14" s="14" t="n">
        <v>0.00666</v>
      </c>
      <c r="G14" s="14" t="n">
        <v>0.00511</v>
      </c>
      <c r="H14" s="11" t="n">
        <v>103.28</v>
      </c>
      <c r="I14" s="11" t="n">
        <v>134.66</v>
      </c>
    </row>
    <row r="15" customFormat="false" ht="15" hidden="false" customHeight="true" outlineLevel="0" collapsed="false">
      <c r="A15" s="10" t="s">
        <v>5</v>
      </c>
      <c r="B15" s="11" t="n">
        <v>6.5</v>
      </c>
      <c r="C15" s="12" t="n">
        <v>0.06</v>
      </c>
      <c r="D15" s="13" t="n">
        <v>0.7445</v>
      </c>
      <c r="E15" s="13" t="n">
        <v>0.7128</v>
      </c>
      <c r="F15" s="14" t="n">
        <v>0.00666</v>
      </c>
      <c r="G15" s="14" t="n">
        <v>0.00511</v>
      </c>
      <c r="H15" s="11" t="n">
        <v>111.85</v>
      </c>
      <c r="I15" s="11" t="n">
        <v>145.83</v>
      </c>
    </row>
    <row r="16" customFormat="false" ht="15" hidden="false" customHeight="true" outlineLevel="0" collapsed="false">
      <c r="A16" s="10" t="s">
        <v>5</v>
      </c>
      <c r="B16" s="11" t="n">
        <v>7</v>
      </c>
      <c r="C16" s="12" t="n">
        <v>0.06</v>
      </c>
      <c r="D16" s="13" t="n">
        <v>0.8015</v>
      </c>
      <c r="E16" s="13" t="n">
        <v>0.7676</v>
      </c>
      <c r="F16" s="14" t="n">
        <v>0.00666</v>
      </c>
      <c r="G16" s="14" t="n">
        <v>0.00511</v>
      </c>
      <c r="H16" s="11" t="n">
        <v>120.41</v>
      </c>
      <c r="I16" s="11" t="n">
        <v>156.99</v>
      </c>
    </row>
    <row r="17" customFormat="false" ht="15" hidden="false" customHeight="true" outlineLevel="0" collapsed="false">
      <c r="A17" s="10" t="s">
        <v>5</v>
      </c>
      <c r="B17" s="11" t="n">
        <v>7.5</v>
      </c>
      <c r="C17" s="12" t="n">
        <v>0.06</v>
      </c>
      <c r="D17" s="13" t="n">
        <v>0.8584</v>
      </c>
      <c r="E17" s="13" t="n">
        <v>0.8225</v>
      </c>
      <c r="F17" s="14" t="n">
        <v>0.00666</v>
      </c>
      <c r="G17" s="14" t="n">
        <v>0.00511</v>
      </c>
      <c r="H17" s="11" t="n">
        <v>128.96</v>
      </c>
      <c r="I17" s="11" t="n">
        <v>168.15</v>
      </c>
    </row>
    <row r="18" customFormat="false" ht="15" hidden="false" customHeight="true" outlineLevel="0" collapsed="false">
      <c r="A18" s="10" t="s">
        <v>5</v>
      </c>
      <c r="B18" s="11" t="n">
        <v>8</v>
      </c>
      <c r="C18" s="12" t="n">
        <v>0.06</v>
      </c>
      <c r="D18" s="13" t="n">
        <v>0.9153</v>
      </c>
      <c r="E18" s="13" t="n">
        <v>0.8773</v>
      </c>
      <c r="F18" s="14" t="n">
        <v>0.00666</v>
      </c>
      <c r="G18" s="14" t="n">
        <v>0.00511</v>
      </c>
      <c r="H18" s="11" t="n">
        <v>137.51</v>
      </c>
      <c r="I18" s="11" t="n">
        <v>179.29</v>
      </c>
    </row>
    <row r="19" customFormat="false" ht="15" hidden="false" customHeight="true" outlineLevel="0" collapsed="false">
      <c r="A19" s="10" t="s">
        <v>5</v>
      </c>
      <c r="B19" s="11" t="n">
        <v>8.5</v>
      </c>
      <c r="C19" s="12" t="n">
        <v>0.06</v>
      </c>
      <c r="D19" s="13" t="n">
        <v>0.9721</v>
      </c>
      <c r="E19" s="13" t="n">
        <v>0.9321</v>
      </c>
      <c r="F19" s="14" t="n">
        <v>0.00666</v>
      </c>
      <c r="G19" s="14" t="n">
        <v>0.00511</v>
      </c>
      <c r="H19" s="11" t="n">
        <v>146.04</v>
      </c>
      <c r="I19" s="11" t="n">
        <v>190.41</v>
      </c>
    </row>
    <row r="20" customFormat="false" ht="15" hidden="false" customHeight="true" outlineLevel="0" collapsed="false">
      <c r="A20" s="10" t="s">
        <v>5</v>
      </c>
      <c r="B20" s="11" t="n">
        <v>9</v>
      </c>
      <c r="C20" s="12" t="n">
        <v>0.06</v>
      </c>
      <c r="D20" s="13" t="n">
        <v>1.0288</v>
      </c>
      <c r="E20" s="13" t="n">
        <v>0.987</v>
      </c>
      <c r="F20" s="14" t="n">
        <v>0.00666</v>
      </c>
      <c r="G20" s="14" t="n">
        <v>0.00511</v>
      </c>
      <c r="H20" s="11" t="n">
        <v>154.56</v>
      </c>
      <c r="I20" s="11" t="n">
        <v>201.52</v>
      </c>
    </row>
    <row r="21" customFormat="false" ht="15" hidden="false" customHeight="true" outlineLevel="0" collapsed="false">
      <c r="A21" s="10" t="s">
        <v>5</v>
      </c>
      <c r="B21" s="11" t="n">
        <v>9.5</v>
      </c>
      <c r="C21" s="12" t="n">
        <v>0.06</v>
      </c>
      <c r="D21" s="13" t="n">
        <v>1.0854</v>
      </c>
      <c r="E21" s="13" t="n">
        <v>1.0418</v>
      </c>
      <c r="F21" s="14" t="n">
        <v>0.00666</v>
      </c>
      <c r="G21" s="14" t="n">
        <v>0.00511</v>
      </c>
      <c r="H21" s="11" t="n">
        <v>163.07</v>
      </c>
      <c r="I21" s="11" t="n">
        <v>212.62</v>
      </c>
    </row>
    <row r="22" customFormat="false" ht="15" hidden="false" customHeight="true" outlineLevel="0" collapsed="false">
      <c r="A22" s="10" t="s">
        <v>5</v>
      </c>
      <c r="B22" s="11" t="n">
        <v>10</v>
      </c>
      <c r="C22" s="12" t="n">
        <v>0.06</v>
      </c>
      <c r="D22" s="13" t="n">
        <v>1.142</v>
      </c>
      <c r="E22" s="13" t="n">
        <v>1.0966</v>
      </c>
      <c r="F22" s="14" t="n">
        <v>0.00666</v>
      </c>
      <c r="G22" s="14" t="n">
        <v>0.00511</v>
      </c>
      <c r="H22" s="11" t="n">
        <v>171.57</v>
      </c>
      <c r="I22" s="11" t="n">
        <v>223.7</v>
      </c>
    </row>
    <row r="23" customFormat="false" ht="15" hidden="false" customHeight="true" outlineLevel="0" collapsed="false">
      <c r="A23" s="10" t="s">
        <v>5</v>
      </c>
      <c r="B23" s="11" t="n">
        <v>10.5</v>
      </c>
      <c r="C23" s="12" t="n">
        <v>0.06</v>
      </c>
      <c r="D23" s="13" t="n">
        <v>1.1985</v>
      </c>
      <c r="E23" s="13" t="n">
        <v>1.1515</v>
      </c>
      <c r="F23" s="14" t="n">
        <v>0.00666</v>
      </c>
      <c r="G23" s="14" t="n">
        <v>0.00511</v>
      </c>
      <c r="H23" s="11" t="n">
        <v>180.05</v>
      </c>
      <c r="I23" s="11" t="n">
        <v>234.76</v>
      </c>
    </row>
    <row r="24" customFormat="false" ht="15" hidden="false" customHeight="true" outlineLevel="0" collapsed="false">
      <c r="A24" s="10" t="s">
        <v>5</v>
      </c>
      <c r="B24" s="11" t="n">
        <v>11</v>
      </c>
      <c r="C24" s="12" t="n">
        <v>0.06</v>
      </c>
      <c r="D24" s="13" t="n">
        <v>1.2549</v>
      </c>
      <c r="E24" s="13" t="n">
        <v>1.2063</v>
      </c>
      <c r="F24" s="14" t="n">
        <v>0.00666</v>
      </c>
      <c r="G24" s="14" t="n">
        <v>0.00511</v>
      </c>
      <c r="H24" s="11" t="n">
        <v>188.52</v>
      </c>
      <c r="I24" s="11" t="n">
        <v>245.8</v>
      </c>
    </row>
    <row r="25" customFormat="false" ht="15" hidden="false" customHeight="true" outlineLevel="0" collapsed="false">
      <c r="A25" s="10" t="s">
        <v>5</v>
      </c>
      <c r="B25" s="11" t="n">
        <v>11.5</v>
      </c>
      <c r="C25" s="12" t="n">
        <v>0.06</v>
      </c>
      <c r="D25" s="13" t="n">
        <v>1.3112</v>
      </c>
      <c r="E25" s="13" t="n">
        <v>1.2611</v>
      </c>
      <c r="F25" s="14" t="n">
        <v>0.00666</v>
      </c>
      <c r="G25" s="14" t="n">
        <v>0.00511</v>
      </c>
      <c r="H25" s="11" t="n">
        <v>196.98</v>
      </c>
      <c r="I25" s="11" t="n">
        <v>256.83</v>
      </c>
    </row>
    <row r="26" customFormat="false" ht="15" hidden="false" customHeight="true" outlineLevel="0" collapsed="false">
      <c r="A26" s="10" t="s">
        <v>5</v>
      </c>
      <c r="B26" s="11" t="n">
        <v>12</v>
      </c>
      <c r="C26" s="12" t="n">
        <v>0.06</v>
      </c>
      <c r="D26" s="13" t="n">
        <v>1.3673</v>
      </c>
      <c r="E26" s="13" t="n">
        <v>1.3159</v>
      </c>
      <c r="F26" s="14" t="n">
        <v>0.00666</v>
      </c>
      <c r="G26" s="14" t="n">
        <v>0.00511</v>
      </c>
      <c r="H26" s="11" t="n">
        <v>205.42</v>
      </c>
      <c r="I26" s="11" t="n">
        <v>267.84</v>
      </c>
    </row>
    <row r="27" customFormat="false" ht="15" hidden="false" customHeight="true" outlineLevel="0" collapsed="false">
      <c r="A27" s="10" t="s">
        <v>6</v>
      </c>
      <c r="B27" s="11" t="n">
        <v>0</v>
      </c>
      <c r="C27" s="12" t="n">
        <v>0.12</v>
      </c>
      <c r="D27" s="13" t="n">
        <v>0</v>
      </c>
      <c r="E27" s="13" t="n">
        <v>0</v>
      </c>
      <c r="F27" s="14" t="n">
        <v>0.00744</v>
      </c>
      <c r="G27" s="14" t="n">
        <v>0.0057</v>
      </c>
      <c r="H27" s="11" t="n">
        <v>0</v>
      </c>
      <c r="I27" s="11" t="n">
        <v>0</v>
      </c>
    </row>
    <row r="28" customFormat="false" ht="15" hidden="false" customHeight="true" outlineLevel="0" collapsed="false">
      <c r="A28" s="10" t="s">
        <v>6</v>
      </c>
      <c r="B28" s="11" t="n">
        <v>0.5</v>
      </c>
      <c r="C28" s="12" t="n">
        <v>0.12</v>
      </c>
      <c r="D28" s="13" t="n">
        <v>0.0602</v>
      </c>
      <c r="E28" s="13" t="n">
        <v>0.0548</v>
      </c>
      <c r="F28" s="14" t="n">
        <v>0.00744</v>
      </c>
      <c r="G28" s="14" t="n">
        <v>0.0057</v>
      </c>
      <c r="H28" s="11" t="n">
        <v>8.09</v>
      </c>
      <c r="I28" s="11" t="n">
        <v>10.55</v>
      </c>
    </row>
    <row r="29" customFormat="false" ht="15" hidden="false" customHeight="true" outlineLevel="0" collapsed="false">
      <c r="A29" s="10" t="s">
        <v>6</v>
      </c>
      <c r="B29" s="11" t="n">
        <v>1</v>
      </c>
      <c r="C29" s="12" t="n">
        <v>0.12</v>
      </c>
      <c r="D29" s="13" t="n">
        <v>0.1204</v>
      </c>
      <c r="E29" s="13" t="n">
        <v>0.1097</v>
      </c>
      <c r="F29" s="14" t="n">
        <v>0.00744</v>
      </c>
      <c r="G29" s="14" t="n">
        <v>0.0057</v>
      </c>
      <c r="H29" s="11" t="n">
        <v>16.18</v>
      </c>
      <c r="I29" s="11" t="n">
        <v>21.1</v>
      </c>
    </row>
    <row r="30" customFormat="false" ht="15" hidden="false" customHeight="true" outlineLevel="0" collapsed="false">
      <c r="A30" s="10" t="s">
        <v>6</v>
      </c>
      <c r="B30" s="11" t="n">
        <v>1.5</v>
      </c>
      <c r="C30" s="12" t="n">
        <v>0.12</v>
      </c>
      <c r="D30" s="13" t="n">
        <v>0.1806</v>
      </c>
      <c r="E30" s="13" t="n">
        <v>0.1645</v>
      </c>
      <c r="F30" s="14" t="n">
        <v>0.00744</v>
      </c>
      <c r="G30" s="14" t="n">
        <v>0.0057</v>
      </c>
      <c r="H30" s="11" t="n">
        <v>24.28</v>
      </c>
      <c r="I30" s="11" t="n">
        <v>31.65</v>
      </c>
    </row>
    <row r="31" customFormat="false" ht="15" hidden="false" customHeight="true" outlineLevel="0" collapsed="false">
      <c r="A31" s="10" t="s">
        <v>6</v>
      </c>
      <c r="B31" s="11" t="n">
        <v>2</v>
      </c>
      <c r="C31" s="12" t="n">
        <v>0.12</v>
      </c>
      <c r="D31" s="13" t="n">
        <v>0.2407</v>
      </c>
      <c r="E31" s="13" t="n">
        <v>0.2193</v>
      </c>
      <c r="F31" s="14" t="n">
        <v>0.00744</v>
      </c>
      <c r="G31" s="14" t="n">
        <v>0.0057</v>
      </c>
      <c r="H31" s="11" t="n">
        <v>32.36</v>
      </c>
      <c r="I31" s="11" t="n">
        <v>42.2</v>
      </c>
    </row>
    <row r="32" customFormat="false" ht="15" hidden="false" customHeight="true" outlineLevel="0" collapsed="false">
      <c r="A32" s="10" t="s">
        <v>6</v>
      </c>
      <c r="B32" s="11" t="n">
        <v>2.5</v>
      </c>
      <c r="C32" s="12" t="n">
        <v>0.12</v>
      </c>
      <c r="D32" s="13" t="n">
        <v>0.3009</v>
      </c>
      <c r="E32" s="13" t="n">
        <v>0.2742</v>
      </c>
      <c r="F32" s="14" t="n">
        <v>0.00744</v>
      </c>
      <c r="G32" s="14" t="n">
        <v>0.0057</v>
      </c>
      <c r="H32" s="11" t="n">
        <v>40.45</v>
      </c>
      <c r="I32" s="11" t="n">
        <v>52.74</v>
      </c>
    </row>
    <row r="33" customFormat="false" ht="15" hidden="false" customHeight="true" outlineLevel="0" collapsed="false">
      <c r="A33" s="10" t="s">
        <v>6</v>
      </c>
      <c r="B33" s="11" t="n">
        <v>3</v>
      </c>
      <c r="C33" s="12" t="n">
        <v>0.12</v>
      </c>
      <c r="D33" s="13" t="n">
        <v>0.361</v>
      </c>
      <c r="E33" s="13" t="n">
        <v>0.329</v>
      </c>
      <c r="F33" s="14" t="n">
        <v>0.00744</v>
      </c>
      <c r="G33" s="14" t="n">
        <v>0.0057</v>
      </c>
      <c r="H33" s="11" t="n">
        <v>48.53</v>
      </c>
      <c r="I33" s="11" t="n">
        <v>63.28</v>
      </c>
    </row>
    <row r="34" customFormat="false" ht="15" hidden="false" customHeight="true" outlineLevel="0" collapsed="false">
      <c r="A34" s="10" t="s">
        <v>6</v>
      </c>
      <c r="B34" s="11" t="n">
        <v>3.5</v>
      </c>
      <c r="C34" s="12" t="n">
        <v>0.12</v>
      </c>
      <c r="D34" s="13" t="n">
        <v>0.4211</v>
      </c>
      <c r="E34" s="13" t="n">
        <v>0.3838</v>
      </c>
      <c r="F34" s="14" t="n">
        <v>0.00744</v>
      </c>
      <c r="G34" s="14" t="n">
        <v>0.0057</v>
      </c>
      <c r="H34" s="11" t="n">
        <v>56.61</v>
      </c>
      <c r="I34" s="11" t="n">
        <v>73.82</v>
      </c>
    </row>
    <row r="35" customFormat="false" ht="15" hidden="false" customHeight="true" outlineLevel="0" collapsed="false">
      <c r="A35" s="10" t="s">
        <v>6</v>
      </c>
      <c r="B35" s="11" t="n">
        <v>4</v>
      </c>
      <c r="C35" s="12" t="n">
        <v>0.12</v>
      </c>
      <c r="D35" s="13" t="n">
        <v>0.4812</v>
      </c>
      <c r="E35" s="13" t="n">
        <v>0.4386</v>
      </c>
      <c r="F35" s="14" t="n">
        <v>0.00744</v>
      </c>
      <c r="G35" s="14" t="n">
        <v>0.0057</v>
      </c>
      <c r="H35" s="11" t="n">
        <v>64.69</v>
      </c>
      <c r="I35" s="11" t="n">
        <v>84.34</v>
      </c>
    </row>
    <row r="36" customFormat="false" ht="15" hidden="false" customHeight="true" outlineLevel="0" collapsed="false">
      <c r="A36" s="10" t="s">
        <v>6</v>
      </c>
      <c r="B36" s="11" t="n">
        <v>4.5</v>
      </c>
      <c r="C36" s="12" t="n">
        <v>0.12</v>
      </c>
      <c r="D36" s="13" t="n">
        <v>0.5412</v>
      </c>
      <c r="E36" s="13" t="n">
        <v>0.4935</v>
      </c>
      <c r="F36" s="14" t="n">
        <v>0.00744</v>
      </c>
      <c r="G36" s="14" t="n">
        <v>0.0057</v>
      </c>
      <c r="H36" s="11" t="n">
        <v>72.76</v>
      </c>
      <c r="I36" s="11" t="n">
        <v>94.87</v>
      </c>
    </row>
    <row r="37" customFormat="false" ht="15" hidden="false" customHeight="true" outlineLevel="0" collapsed="false">
      <c r="A37" s="10" t="s">
        <v>6</v>
      </c>
      <c r="B37" s="11" t="n">
        <v>5</v>
      </c>
      <c r="C37" s="12" t="n">
        <v>0.12</v>
      </c>
      <c r="D37" s="13" t="n">
        <v>0.6012</v>
      </c>
      <c r="E37" s="13" t="n">
        <v>0.5483</v>
      </c>
      <c r="F37" s="14" t="n">
        <v>0.00744</v>
      </c>
      <c r="G37" s="14" t="n">
        <v>0.0057</v>
      </c>
      <c r="H37" s="11" t="n">
        <v>80.82</v>
      </c>
      <c r="I37" s="11" t="n">
        <v>105.38</v>
      </c>
    </row>
    <row r="38" customFormat="false" ht="15" hidden="false" customHeight="true" outlineLevel="0" collapsed="false">
      <c r="A38" s="10" t="s">
        <v>6</v>
      </c>
      <c r="B38" s="11" t="n">
        <v>5.5</v>
      </c>
      <c r="C38" s="12" t="n">
        <v>0.12</v>
      </c>
      <c r="D38" s="13" t="n">
        <v>0.6611</v>
      </c>
      <c r="E38" s="13" t="n">
        <v>0.6031</v>
      </c>
      <c r="F38" s="14" t="n">
        <v>0.00744</v>
      </c>
      <c r="G38" s="14" t="n">
        <v>0.0057</v>
      </c>
      <c r="H38" s="11" t="n">
        <v>88.88</v>
      </c>
      <c r="I38" s="11" t="n">
        <v>115.89</v>
      </c>
    </row>
    <row r="39" customFormat="false" ht="15" hidden="false" customHeight="true" outlineLevel="0" collapsed="false">
      <c r="A39" s="10" t="s">
        <v>6</v>
      </c>
      <c r="B39" s="11" t="n">
        <v>6</v>
      </c>
      <c r="C39" s="12" t="n">
        <v>0.12</v>
      </c>
      <c r="D39" s="13" t="n">
        <v>0.721</v>
      </c>
      <c r="E39" s="13" t="n">
        <v>0.658</v>
      </c>
      <c r="F39" s="14" t="n">
        <v>0.00744</v>
      </c>
      <c r="G39" s="14" t="n">
        <v>0.0057</v>
      </c>
      <c r="H39" s="11" t="n">
        <v>96.94</v>
      </c>
      <c r="I39" s="11" t="n">
        <v>126.39</v>
      </c>
    </row>
    <row r="40" customFormat="false" ht="15" hidden="false" customHeight="true" outlineLevel="0" collapsed="false">
      <c r="A40" s="10" t="s">
        <v>6</v>
      </c>
      <c r="B40" s="11" t="n">
        <v>6.5</v>
      </c>
      <c r="C40" s="12" t="n">
        <v>0.12</v>
      </c>
      <c r="D40" s="13" t="n">
        <v>0.7809</v>
      </c>
      <c r="E40" s="13" t="n">
        <v>0.7128</v>
      </c>
      <c r="F40" s="14" t="n">
        <v>0.00744</v>
      </c>
      <c r="G40" s="14" t="n">
        <v>0.0057</v>
      </c>
      <c r="H40" s="11" t="n">
        <v>104.98</v>
      </c>
      <c r="I40" s="11" t="n">
        <v>136.88</v>
      </c>
    </row>
    <row r="41" customFormat="false" ht="15" hidden="false" customHeight="true" outlineLevel="0" collapsed="false">
      <c r="A41" s="10" t="s">
        <v>6</v>
      </c>
      <c r="B41" s="11" t="n">
        <v>7</v>
      </c>
      <c r="C41" s="12" t="n">
        <v>0.12</v>
      </c>
      <c r="D41" s="13" t="n">
        <v>0.8406</v>
      </c>
      <c r="E41" s="13" t="n">
        <v>0.7676</v>
      </c>
      <c r="F41" s="14" t="n">
        <v>0.00744</v>
      </c>
      <c r="G41" s="14" t="n">
        <v>0.0057</v>
      </c>
      <c r="H41" s="11" t="n">
        <v>113.02</v>
      </c>
      <c r="I41" s="11" t="n">
        <v>147.36</v>
      </c>
    </row>
    <row r="42" customFormat="false" ht="15" hidden="false" customHeight="true" outlineLevel="0" collapsed="false">
      <c r="A42" s="10" t="s">
        <v>6</v>
      </c>
      <c r="B42" s="11" t="n">
        <v>7.5</v>
      </c>
      <c r="C42" s="12" t="n">
        <v>0.12</v>
      </c>
      <c r="D42" s="13" t="n">
        <v>0.9004</v>
      </c>
      <c r="E42" s="13" t="n">
        <v>0.8225</v>
      </c>
      <c r="F42" s="14" t="n">
        <v>0.00744</v>
      </c>
      <c r="G42" s="14" t="n">
        <v>0.0057</v>
      </c>
      <c r="H42" s="11" t="n">
        <v>121.04</v>
      </c>
      <c r="I42" s="11" t="n">
        <v>157.82</v>
      </c>
    </row>
    <row r="43" customFormat="false" ht="15" hidden="false" customHeight="true" outlineLevel="0" collapsed="false">
      <c r="A43" s="10" t="s">
        <v>6</v>
      </c>
      <c r="B43" s="11" t="n">
        <v>8</v>
      </c>
      <c r="C43" s="12" t="n">
        <v>0.12</v>
      </c>
      <c r="D43" s="13" t="n">
        <v>0.96</v>
      </c>
      <c r="E43" s="13" t="n">
        <v>0.8773</v>
      </c>
      <c r="F43" s="14" t="n">
        <v>0.00744</v>
      </c>
      <c r="G43" s="14" t="n">
        <v>0.0057</v>
      </c>
      <c r="H43" s="11" t="n">
        <v>129.06</v>
      </c>
      <c r="I43" s="11" t="n">
        <v>168.28</v>
      </c>
    </row>
    <row r="44" customFormat="false" ht="15" hidden="false" customHeight="true" outlineLevel="0" collapsed="false">
      <c r="A44" s="10" t="s">
        <v>6</v>
      </c>
      <c r="B44" s="11" t="n">
        <v>8.5</v>
      </c>
      <c r="C44" s="12" t="n">
        <v>0.12</v>
      </c>
      <c r="D44" s="13" t="n">
        <v>1.0196</v>
      </c>
      <c r="E44" s="13" t="n">
        <v>0.9321</v>
      </c>
      <c r="F44" s="14" t="n">
        <v>0.00744</v>
      </c>
      <c r="G44" s="14" t="n">
        <v>0.0057</v>
      </c>
      <c r="H44" s="11" t="n">
        <v>137.07</v>
      </c>
      <c r="I44" s="11" t="n">
        <v>178.72</v>
      </c>
    </row>
    <row r="45" customFormat="false" ht="15" hidden="false" customHeight="true" outlineLevel="0" collapsed="false">
      <c r="A45" s="10" t="s">
        <v>6</v>
      </c>
      <c r="B45" s="11" t="n">
        <v>9</v>
      </c>
      <c r="C45" s="12" t="n">
        <v>0.12</v>
      </c>
      <c r="D45" s="13" t="n">
        <v>1.0791</v>
      </c>
      <c r="E45" s="13" t="n">
        <v>0.987</v>
      </c>
      <c r="F45" s="14" t="n">
        <v>0.00744</v>
      </c>
      <c r="G45" s="14" t="n">
        <v>0.0057</v>
      </c>
      <c r="H45" s="11" t="n">
        <v>145.07</v>
      </c>
      <c r="I45" s="11" t="n">
        <v>189.15</v>
      </c>
    </row>
    <row r="46" customFormat="false" ht="15" hidden="false" customHeight="true" outlineLevel="0" collapsed="false">
      <c r="A46" s="10" t="s">
        <v>6</v>
      </c>
      <c r="B46" s="11" t="n">
        <v>9.5</v>
      </c>
      <c r="C46" s="12" t="n">
        <v>0.12</v>
      </c>
      <c r="D46" s="13" t="n">
        <v>1.1385</v>
      </c>
      <c r="E46" s="13" t="n">
        <v>1.0418</v>
      </c>
      <c r="F46" s="14" t="n">
        <v>0.00744</v>
      </c>
      <c r="G46" s="14" t="n">
        <v>0.0057</v>
      </c>
      <c r="H46" s="11" t="n">
        <v>153.06</v>
      </c>
      <c r="I46" s="11" t="n">
        <v>199.56</v>
      </c>
    </row>
    <row r="47" customFormat="false" ht="15" hidden="false" customHeight="true" outlineLevel="0" collapsed="false">
      <c r="A47" s="10" t="s">
        <v>6</v>
      </c>
      <c r="B47" s="11" t="n">
        <v>10</v>
      </c>
      <c r="C47" s="12" t="n">
        <v>0.12</v>
      </c>
      <c r="D47" s="13" t="n">
        <v>1.1978</v>
      </c>
      <c r="E47" s="13" t="n">
        <v>1.0966</v>
      </c>
      <c r="F47" s="14" t="n">
        <v>0.00744</v>
      </c>
      <c r="G47" s="14" t="n">
        <v>0.0057</v>
      </c>
      <c r="H47" s="11" t="n">
        <v>161.03</v>
      </c>
      <c r="I47" s="11" t="n">
        <v>209.96</v>
      </c>
    </row>
    <row r="48" customFormat="false" ht="15" hidden="false" customHeight="true" outlineLevel="0" collapsed="false">
      <c r="A48" s="10" t="s">
        <v>6</v>
      </c>
      <c r="B48" s="11" t="n">
        <v>10.5</v>
      </c>
      <c r="C48" s="12" t="n">
        <v>0.12</v>
      </c>
      <c r="D48" s="13" t="n">
        <v>1.257</v>
      </c>
      <c r="E48" s="13" t="n">
        <v>1.1515</v>
      </c>
      <c r="F48" s="14" t="n">
        <v>0.00744</v>
      </c>
      <c r="G48" s="14" t="n">
        <v>0.0057</v>
      </c>
      <c r="H48" s="11" t="n">
        <v>169</v>
      </c>
      <c r="I48" s="11" t="n">
        <v>220.35</v>
      </c>
    </row>
    <row r="49" customFormat="false" ht="15" hidden="false" customHeight="true" outlineLevel="0" collapsed="false">
      <c r="A49" s="10" t="s">
        <v>6</v>
      </c>
      <c r="B49" s="11" t="n">
        <v>11</v>
      </c>
      <c r="C49" s="12" t="n">
        <v>0.12</v>
      </c>
      <c r="D49" s="13" t="n">
        <v>1.3162</v>
      </c>
      <c r="E49" s="13" t="n">
        <v>1.2063</v>
      </c>
      <c r="F49" s="14" t="n">
        <v>0.00744</v>
      </c>
      <c r="G49" s="14" t="n">
        <v>0.0057</v>
      </c>
      <c r="H49" s="11" t="n">
        <v>176.95</v>
      </c>
      <c r="I49" s="11" t="n">
        <v>230.71</v>
      </c>
    </row>
    <row r="50" customFormat="false" ht="15" hidden="false" customHeight="true" outlineLevel="0" collapsed="false">
      <c r="A50" s="10" t="s">
        <v>6</v>
      </c>
      <c r="B50" s="11" t="n">
        <v>11.5</v>
      </c>
      <c r="C50" s="12" t="n">
        <v>0.12</v>
      </c>
      <c r="D50" s="13" t="n">
        <v>1.3752</v>
      </c>
      <c r="E50" s="13" t="n">
        <v>1.2611</v>
      </c>
      <c r="F50" s="14" t="n">
        <v>0.00744</v>
      </c>
      <c r="G50" s="14" t="n">
        <v>0.0057</v>
      </c>
      <c r="H50" s="11" t="n">
        <v>184.89</v>
      </c>
      <c r="I50" s="11" t="n">
        <v>241.06</v>
      </c>
    </row>
    <row r="51" customFormat="false" ht="15" hidden="false" customHeight="true" outlineLevel="0" collapsed="false">
      <c r="A51" s="10" t="s">
        <v>6</v>
      </c>
      <c r="B51" s="11" t="n">
        <v>12</v>
      </c>
      <c r="C51" s="12" t="n">
        <v>0.12</v>
      </c>
      <c r="D51" s="13" t="n">
        <v>1.4342</v>
      </c>
      <c r="E51" s="13" t="n">
        <v>1.3159</v>
      </c>
      <c r="F51" s="14" t="n">
        <v>0.00744</v>
      </c>
      <c r="G51" s="14" t="n">
        <v>0.0057</v>
      </c>
      <c r="H51" s="11" t="n">
        <v>192.81</v>
      </c>
      <c r="I51" s="11" t="n">
        <v>251.39</v>
      </c>
    </row>
    <row r="52" customFormat="false" ht="15" hidden="false" customHeight="true" outlineLevel="0" collapsed="false">
      <c r="A52" s="10" t="s">
        <v>7</v>
      </c>
      <c r="B52" s="11" t="n">
        <v>0</v>
      </c>
      <c r="C52" s="12" t="n">
        <v>0.12</v>
      </c>
      <c r="D52" s="13" t="n">
        <v>0</v>
      </c>
      <c r="E52" s="13" t="n">
        <v>0</v>
      </c>
      <c r="F52" s="14" t="n">
        <v>0.00744</v>
      </c>
      <c r="G52" s="14" t="n">
        <v>0.0057</v>
      </c>
      <c r="H52" s="11" t="n">
        <v>0</v>
      </c>
      <c r="I52" s="11" t="n">
        <v>0</v>
      </c>
    </row>
    <row r="53" customFormat="false" ht="15" hidden="false" customHeight="true" outlineLevel="0" collapsed="false">
      <c r="A53" s="10" t="s">
        <v>7</v>
      </c>
      <c r="B53" s="11" t="n">
        <v>0.5</v>
      </c>
      <c r="C53" s="12" t="n">
        <v>0.12</v>
      </c>
      <c r="D53" s="13" t="n">
        <v>0.0578</v>
      </c>
      <c r="E53" s="13" t="n">
        <v>0.0548</v>
      </c>
      <c r="F53" s="14" t="n">
        <v>0.00744</v>
      </c>
      <c r="G53" s="14" t="n">
        <v>0.0057</v>
      </c>
      <c r="H53" s="11" t="n">
        <v>7.77</v>
      </c>
      <c r="I53" s="11" t="n">
        <v>10.13</v>
      </c>
    </row>
    <row r="54" customFormat="false" ht="15" hidden="false" customHeight="true" outlineLevel="0" collapsed="false">
      <c r="A54" s="10" t="s">
        <v>7</v>
      </c>
      <c r="B54" s="11" t="n">
        <v>1</v>
      </c>
      <c r="C54" s="12" t="n">
        <v>0.12</v>
      </c>
      <c r="D54" s="13" t="n">
        <v>0.1156</v>
      </c>
      <c r="E54" s="13" t="n">
        <v>0.1097</v>
      </c>
      <c r="F54" s="14" t="n">
        <v>0.00744</v>
      </c>
      <c r="G54" s="14" t="n">
        <v>0.0057</v>
      </c>
      <c r="H54" s="11" t="n">
        <v>15.54</v>
      </c>
      <c r="I54" s="11" t="n">
        <v>20.27</v>
      </c>
    </row>
    <row r="55" customFormat="false" ht="15" hidden="false" customHeight="true" outlineLevel="0" collapsed="false">
      <c r="A55" s="10" t="s">
        <v>7</v>
      </c>
      <c r="B55" s="11" t="n">
        <v>1.5</v>
      </c>
      <c r="C55" s="12" t="n">
        <v>0.12</v>
      </c>
      <c r="D55" s="13" t="n">
        <v>0.1734</v>
      </c>
      <c r="E55" s="13" t="n">
        <v>0.1645</v>
      </c>
      <c r="F55" s="14" t="n">
        <v>0.00744</v>
      </c>
      <c r="G55" s="14" t="n">
        <v>0.0057</v>
      </c>
      <c r="H55" s="11" t="n">
        <v>23.31</v>
      </c>
      <c r="I55" s="11" t="n">
        <v>30.4</v>
      </c>
    </row>
    <row r="56" customFormat="false" ht="15" hidden="false" customHeight="true" outlineLevel="0" collapsed="false">
      <c r="A56" s="10" t="s">
        <v>7</v>
      </c>
      <c r="B56" s="11" t="n">
        <v>2</v>
      </c>
      <c r="C56" s="12" t="n">
        <v>0.12</v>
      </c>
      <c r="D56" s="13" t="n">
        <v>0.2312</v>
      </c>
      <c r="E56" s="13" t="n">
        <v>0.2193</v>
      </c>
      <c r="F56" s="14" t="n">
        <v>0.00744</v>
      </c>
      <c r="G56" s="14" t="n">
        <v>0.0057</v>
      </c>
      <c r="H56" s="11" t="n">
        <v>31.08</v>
      </c>
      <c r="I56" s="11" t="n">
        <v>40.53</v>
      </c>
    </row>
    <row r="57" customFormat="false" ht="15" hidden="false" customHeight="true" outlineLevel="0" collapsed="false">
      <c r="A57" s="10" t="s">
        <v>7</v>
      </c>
      <c r="B57" s="11" t="n">
        <v>2.5</v>
      </c>
      <c r="C57" s="12" t="n">
        <v>0.12</v>
      </c>
      <c r="D57" s="13" t="n">
        <v>0.289</v>
      </c>
      <c r="E57" s="13" t="n">
        <v>0.2742</v>
      </c>
      <c r="F57" s="14" t="n">
        <v>0.00744</v>
      </c>
      <c r="G57" s="14" t="n">
        <v>0.0057</v>
      </c>
      <c r="H57" s="11" t="n">
        <v>38.85</v>
      </c>
      <c r="I57" s="11" t="n">
        <v>50.65</v>
      </c>
    </row>
    <row r="58" customFormat="false" ht="15" hidden="false" customHeight="true" outlineLevel="0" collapsed="false">
      <c r="A58" s="10" t="s">
        <v>7</v>
      </c>
      <c r="B58" s="11" t="n">
        <v>3</v>
      </c>
      <c r="C58" s="12" t="n">
        <v>0.12</v>
      </c>
      <c r="D58" s="13" t="n">
        <v>0.3467</v>
      </c>
      <c r="E58" s="13" t="n">
        <v>0.329</v>
      </c>
      <c r="F58" s="14" t="n">
        <v>0.00744</v>
      </c>
      <c r="G58" s="14" t="n">
        <v>0.0057</v>
      </c>
      <c r="H58" s="11" t="n">
        <v>46.61</v>
      </c>
      <c r="I58" s="11" t="n">
        <v>60.78</v>
      </c>
    </row>
    <row r="59" customFormat="false" ht="15" hidden="false" customHeight="true" outlineLevel="0" collapsed="false">
      <c r="A59" s="10" t="s">
        <v>7</v>
      </c>
      <c r="B59" s="11" t="n">
        <v>3.5</v>
      </c>
      <c r="C59" s="12" t="n">
        <v>0.12</v>
      </c>
      <c r="D59" s="13" t="n">
        <v>0.4044</v>
      </c>
      <c r="E59" s="13" t="n">
        <v>0.3838</v>
      </c>
      <c r="F59" s="14" t="n">
        <v>0.00744</v>
      </c>
      <c r="G59" s="14" t="n">
        <v>0.0057</v>
      </c>
      <c r="H59" s="11" t="n">
        <v>54.37</v>
      </c>
      <c r="I59" s="11" t="n">
        <v>70.89</v>
      </c>
    </row>
    <row r="60" customFormat="false" ht="15" hidden="false" customHeight="true" outlineLevel="0" collapsed="false">
      <c r="A60" s="10" t="s">
        <v>7</v>
      </c>
      <c r="B60" s="11" t="n">
        <v>4</v>
      </c>
      <c r="C60" s="12" t="n">
        <v>0.12</v>
      </c>
      <c r="D60" s="13" t="n">
        <v>0.4621</v>
      </c>
      <c r="E60" s="13" t="n">
        <v>0.4386</v>
      </c>
      <c r="F60" s="14" t="n">
        <v>0.00744</v>
      </c>
      <c r="G60" s="14" t="n">
        <v>0.0057</v>
      </c>
      <c r="H60" s="11" t="n">
        <v>62.13</v>
      </c>
      <c r="I60" s="11" t="n">
        <v>81.01</v>
      </c>
    </row>
    <row r="61" customFormat="false" ht="15" hidden="false" customHeight="true" outlineLevel="0" collapsed="false">
      <c r="A61" s="10" t="s">
        <v>7</v>
      </c>
      <c r="B61" s="11" t="n">
        <v>4.5</v>
      </c>
      <c r="C61" s="12" t="n">
        <v>0.12</v>
      </c>
      <c r="D61" s="13" t="n">
        <v>0.5198</v>
      </c>
      <c r="E61" s="13" t="n">
        <v>0.4935</v>
      </c>
      <c r="F61" s="14" t="n">
        <v>0.00744</v>
      </c>
      <c r="G61" s="14" t="n">
        <v>0.0057</v>
      </c>
      <c r="H61" s="11" t="n">
        <v>69.88</v>
      </c>
      <c r="I61" s="11" t="n">
        <v>91.11</v>
      </c>
    </row>
    <row r="62" customFormat="false" ht="15" hidden="false" customHeight="true" outlineLevel="0" collapsed="false">
      <c r="A62" s="10" t="s">
        <v>7</v>
      </c>
      <c r="B62" s="11" t="n">
        <v>5</v>
      </c>
      <c r="C62" s="12" t="n">
        <v>0.12</v>
      </c>
      <c r="D62" s="13" t="n">
        <v>0.5774</v>
      </c>
      <c r="E62" s="13" t="n">
        <v>0.5483</v>
      </c>
      <c r="F62" s="14" t="n">
        <v>0.00744</v>
      </c>
      <c r="G62" s="14" t="n">
        <v>0.0057</v>
      </c>
      <c r="H62" s="11" t="n">
        <v>77.63</v>
      </c>
      <c r="I62" s="11" t="n">
        <v>101.21</v>
      </c>
    </row>
    <row r="63" customFormat="false" ht="15" hidden="false" customHeight="true" outlineLevel="0" collapsed="false">
      <c r="A63" s="10" t="s">
        <v>7</v>
      </c>
      <c r="B63" s="11" t="n">
        <v>5.5</v>
      </c>
      <c r="C63" s="12" t="n">
        <v>0.12</v>
      </c>
      <c r="D63" s="13" t="n">
        <v>0.635</v>
      </c>
      <c r="E63" s="13" t="n">
        <v>0.6031</v>
      </c>
      <c r="F63" s="14" t="n">
        <v>0.00744</v>
      </c>
      <c r="G63" s="14" t="n">
        <v>0.0057</v>
      </c>
      <c r="H63" s="11" t="n">
        <v>85.37</v>
      </c>
      <c r="I63" s="11" t="n">
        <v>111.3</v>
      </c>
    </row>
    <row r="64" customFormat="false" ht="15" hidden="false" customHeight="true" outlineLevel="0" collapsed="false">
      <c r="A64" s="10" t="s">
        <v>7</v>
      </c>
      <c r="B64" s="11" t="n">
        <v>6</v>
      </c>
      <c r="C64" s="12" t="n">
        <v>0.12</v>
      </c>
      <c r="D64" s="13" t="n">
        <v>0.6925</v>
      </c>
      <c r="E64" s="13" t="n">
        <v>0.658</v>
      </c>
      <c r="F64" s="14" t="n">
        <v>0.00744</v>
      </c>
      <c r="G64" s="14" t="n">
        <v>0.0057</v>
      </c>
      <c r="H64" s="11" t="n">
        <v>93.1</v>
      </c>
      <c r="I64" s="11" t="n">
        <v>121.39</v>
      </c>
    </row>
    <row r="65" customFormat="false" ht="15" hidden="false" customHeight="true" outlineLevel="0" collapsed="false">
      <c r="A65" s="10" t="s">
        <v>7</v>
      </c>
      <c r="B65" s="11" t="n">
        <v>6.5</v>
      </c>
      <c r="C65" s="12" t="n">
        <v>0.12</v>
      </c>
      <c r="D65" s="13" t="n">
        <v>0.75</v>
      </c>
      <c r="E65" s="13" t="n">
        <v>0.7128</v>
      </c>
      <c r="F65" s="14" t="n">
        <v>0.00744</v>
      </c>
      <c r="G65" s="14" t="n">
        <v>0.0057</v>
      </c>
      <c r="H65" s="11" t="n">
        <v>100.83</v>
      </c>
      <c r="I65" s="11" t="n">
        <v>131.46</v>
      </c>
    </row>
    <row r="66" customFormat="false" ht="15" hidden="false" customHeight="true" outlineLevel="0" collapsed="false">
      <c r="A66" s="10" t="s">
        <v>7</v>
      </c>
      <c r="B66" s="11" t="n">
        <v>7</v>
      </c>
      <c r="C66" s="12" t="n">
        <v>0.12</v>
      </c>
      <c r="D66" s="13" t="n">
        <v>0.8074</v>
      </c>
      <c r="E66" s="13" t="n">
        <v>0.7676</v>
      </c>
      <c r="F66" s="14" t="n">
        <v>0.00744</v>
      </c>
      <c r="G66" s="14" t="n">
        <v>0.0057</v>
      </c>
      <c r="H66" s="11" t="n">
        <v>108.54</v>
      </c>
      <c r="I66" s="11" t="n">
        <v>141.52</v>
      </c>
    </row>
    <row r="67" customFormat="false" ht="15" hidden="false" customHeight="true" outlineLevel="0" collapsed="false">
      <c r="A67" s="10" t="s">
        <v>7</v>
      </c>
      <c r="B67" s="11" t="n">
        <v>7.5</v>
      </c>
      <c r="C67" s="12" t="n">
        <v>0.12</v>
      </c>
      <c r="D67" s="13" t="n">
        <v>0.8647</v>
      </c>
      <c r="E67" s="13" t="n">
        <v>0.8225</v>
      </c>
      <c r="F67" s="14" t="n">
        <v>0.00744</v>
      </c>
      <c r="G67" s="14" t="n">
        <v>0.0057</v>
      </c>
      <c r="H67" s="11" t="n">
        <v>116.25</v>
      </c>
      <c r="I67" s="11" t="n">
        <v>151.58</v>
      </c>
    </row>
    <row r="68" customFormat="false" ht="15" hidden="false" customHeight="true" outlineLevel="0" collapsed="false">
      <c r="A68" s="10" t="s">
        <v>7</v>
      </c>
      <c r="B68" s="11" t="n">
        <v>8</v>
      </c>
      <c r="C68" s="12" t="n">
        <v>0.12</v>
      </c>
      <c r="D68" s="13" t="n">
        <v>0.922</v>
      </c>
      <c r="E68" s="13" t="n">
        <v>0.8773</v>
      </c>
      <c r="F68" s="14" t="n">
        <v>0.00744</v>
      </c>
      <c r="G68" s="14" t="n">
        <v>0.0057</v>
      </c>
      <c r="H68" s="11" t="n">
        <v>123.96</v>
      </c>
      <c r="I68" s="11" t="n">
        <v>161.62</v>
      </c>
    </row>
    <row r="69" customFormat="false" ht="15" hidden="false" customHeight="true" outlineLevel="0" collapsed="false">
      <c r="A69" s="10" t="s">
        <v>7</v>
      </c>
      <c r="B69" s="11" t="n">
        <v>8.5</v>
      </c>
      <c r="C69" s="12" t="n">
        <v>0.12</v>
      </c>
      <c r="D69" s="13" t="n">
        <v>0.9792</v>
      </c>
      <c r="E69" s="13" t="n">
        <v>0.9321</v>
      </c>
      <c r="F69" s="14" t="n">
        <v>0.00744</v>
      </c>
      <c r="G69" s="14" t="n">
        <v>0.0057</v>
      </c>
      <c r="H69" s="11" t="n">
        <v>131.65</v>
      </c>
      <c r="I69" s="11" t="n">
        <v>171.65</v>
      </c>
    </row>
    <row r="70" customFormat="false" ht="15" hidden="false" customHeight="true" outlineLevel="0" collapsed="false">
      <c r="A70" s="10" t="s">
        <v>7</v>
      </c>
      <c r="B70" s="11" t="n">
        <v>9</v>
      </c>
      <c r="C70" s="12" t="n">
        <v>0.12</v>
      </c>
      <c r="D70" s="13" t="n">
        <v>1.0364</v>
      </c>
      <c r="E70" s="13" t="n">
        <v>0.987</v>
      </c>
      <c r="F70" s="14" t="n">
        <v>0.00744</v>
      </c>
      <c r="G70" s="14" t="n">
        <v>0.0057</v>
      </c>
      <c r="H70" s="11" t="n">
        <v>139.33</v>
      </c>
      <c r="I70" s="11" t="n">
        <v>181.66</v>
      </c>
    </row>
    <row r="71" customFormat="false" ht="15" hidden="false" customHeight="true" outlineLevel="0" collapsed="false">
      <c r="A71" s="10" t="s">
        <v>7</v>
      </c>
      <c r="B71" s="11" t="n">
        <v>9.5</v>
      </c>
      <c r="C71" s="12" t="n">
        <v>0.12</v>
      </c>
      <c r="D71" s="13" t="n">
        <v>1.0934</v>
      </c>
      <c r="E71" s="13" t="n">
        <v>1.0418</v>
      </c>
      <c r="F71" s="14" t="n">
        <v>0.00744</v>
      </c>
      <c r="G71" s="14" t="n">
        <v>0.0057</v>
      </c>
      <c r="H71" s="11" t="n">
        <v>147</v>
      </c>
      <c r="I71" s="11" t="n">
        <v>191.67</v>
      </c>
    </row>
    <row r="72" customFormat="false" ht="15" hidden="false" customHeight="true" outlineLevel="0" collapsed="false">
      <c r="A72" s="10" t="s">
        <v>7</v>
      </c>
      <c r="B72" s="11" t="n">
        <v>10</v>
      </c>
      <c r="C72" s="12" t="n">
        <v>0.12</v>
      </c>
      <c r="D72" s="13" t="n">
        <v>1.1504</v>
      </c>
      <c r="E72" s="13" t="n">
        <v>1.0966</v>
      </c>
      <c r="F72" s="14" t="n">
        <v>0.00744</v>
      </c>
      <c r="G72" s="14" t="n">
        <v>0.0057</v>
      </c>
      <c r="H72" s="11" t="n">
        <v>154.66</v>
      </c>
      <c r="I72" s="11" t="n">
        <v>201.65</v>
      </c>
    </row>
    <row r="73" customFormat="false" ht="15" hidden="false" customHeight="true" outlineLevel="0" collapsed="false">
      <c r="A73" s="10" t="s">
        <v>7</v>
      </c>
      <c r="B73" s="11" t="n">
        <v>10.5</v>
      </c>
      <c r="C73" s="12" t="n">
        <v>0.12</v>
      </c>
      <c r="D73" s="13" t="n">
        <v>1.2073</v>
      </c>
      <c r="E73" s="13" t="n">
        <v>1.1515</v>
      </c>
      <c r="F73" s="14" t="n">
        <v>0.00744</v>
      </c>
      <c r="G73" s="14" t="n">
        <v>0.0057</v>
      </c>
      <c r="H73" s="11" t="n">
        <v>162.31</v>
      </c>
      <c r="I73" s="11" t="n">
        <v>211.63</v>
      </c>
    </row>
    <row r="74" customFormat="false" ht="15" hidden="false" customHeight="true" outlineLevel="0" collapsed="false">
      <c r="A74" s="10" t="s">
        <v>7</v>
      </c>
      <c r="B74" s="11" t="n">
        <v>11</v>
      </c>
      <c r="C74" s="12" t="n">
        <v>0.12</v>
      </c>
      <c r="D74" s="13" t="n">
        <v>1.2641</v>
      </c>
      <c r="E74" s="13" t="n">
        <v>1.2063</v>
      </c>
      <c r="F74" s="14" t="n">
        <v>0.00744</v>
      </c>
      <c r="G74" s="14" t="n">
        <v>0.0057</v>
      </c>
      <c r="H74" s="11" t="n">
        <v>169.95</v>
      </c>
      <c r="I74" s="11" t="n">
        <v>221.58</v>
      </c>
    </row>
    <row r="75" customFormat="false" ht="15" hidden="false" customHeight="true" outlineLevel="0" collapsed="false">
      <c r="A75" s="10" t="s">
        <v>7</v>
      </c>
      <c r="B75" s="11" t="n">
        <v>11.5</v>
      </c>
      <c r="C75" s="12" t="n">
        <v>0.12</v>
      </c>
      <c r="D75" s="13" t="n">
        <v>1.3208</v>
      </c>
      <c r="E75" s="13" t="n">
        <v>1.2611</v>
      </c>
      <c r="F75" s="14" t="n">
        <v>0.00744</v>
      </c>
      <c r="G75" s="14" t="n">
        <v>0.0057</v>
      </c>
      <c r="H75" s="11" t="n">
        <v>177.57</v>
      </c>
      <c r="I75" s="11" t="n">
        <v>231.52</v>
      </c>
    </row>
    <row r="76" customFormat="false" ht="15" hidden="false" customHeight="true" outlineLevel="0" collapsed="false">
      <c r="A76" s="10" t="s">
        <v>7</v>
      </c>
      <c r="B76" s="11" t="n">
        <v>12</v>
      </c>
      <c r="C76" s="12" t="n">
        <v>0.12</v>
      </c>
      <c r="D76" s="13" t="n">
        <v>1.3774</v>
      </c>
      <c r="E76" s="13" t="n">
        <v>1.3159</v>
      </c>
      <c r="F76" s="14" t="n">
        <v>0.00744</v>
      </c>
      <c r="G76" s="14" t="n">
        <v>0.0057</v>
      </c>
      <c r="H76" s="11" t="n">
        <v>185.18</v>
      </c>
      <c r="I76" s="11" t="n">
        <v>241.44</v>
      </c>
    </row>
    <row r="77" customFormat="false" ht="15" hidden="false" customHeight="true" outlineLevel="0" collapsed="false">
      <c r="A77" s="10" t="s">
        <v>8</v>
      </c>
      <c r="B77" s="11" t="n">
        <v>0</v>
      </c>
      <c r="C77" s="12" t="n">
        <v>0.03</v>
      </c>
      <c r="D77" s="13" t="n">
        <v>0</v>
      </c>
      <c r="E77" s="13" t="n">
        <v>0</v>
      </c>
      <c r="F77" s="14" t="n">
        <v>0.0063</v>
      </c>
      <c r="G77" s="14" t="n">
        <v>0.00483</v>
      </c>
      <c r="H77" s="11" t="n">
        <v>0</v>
      </c>
      <c r="I77" s="11" t="n">
        <v>0</v>
      </c>
    </row>
    <row r="78" customFormat="false" ht="15" hidden="false" customHeight="true" outlineLevel="0" collapsed="false">
      <c r="A78" s="10" t="s">
        <v>8</v>
      </c>
      <c r="B78" s="11" t="n">
        <v>0.5</v>
      </c>
      <c r="C78" s="12" t="n">
        <v>0.03</v>
      </c>
      <c r="D78" s="13" t="n">
        <v>0.0562</v>
      </c>
      <c r="E78" s="13" t="n">
        <v>0.0548</v>
      </c>
      <c r="F78" s="14" t="n">
        <v>0.0063</v>
      </c>
      <c r="G78" s="14" t="n">
        <v>0.00483</v>
      </c>
      <c r="H78" s="11" t="n">
        <v>8.93</v>
      </c>
      <c r="I78" s="11" t="n">
        <v>11.65</v>
      </c>
    </row>
    <row r="79" customFormat="false" ht="15" hidden="false" customHeight="true" outlineLevel="0" collapsed="false">
      <c r="A79" s="10" t="s">
        <v>8</v>
      </c>
      <c r="B79" s="11" t="n">
        <v>1</v>
      </c>
      <c r="C79" s="12" t="n">
        <v>0.03</v>
      </c>
      <c r="D79" s="13" t="n">
        <v>0.1125</v>
      </c>
      <c r="E79" s="13" t="n">
        <v>0.1097</v>
      </c>
      <c r="F79" s="14" t="n">
        <v>0.0063</v>
      </c>
      <c r="G79" s="14" t="n">
        <v>0.00483</v>
      </c>
      <c r="H79" s="11" t="n">
        <v>17.86</v>
      </c>
      <c r="I79" s="11" t="n">
        <v>23.29</v>
      </c>
    </row>
    <row r="80" customFormat="false" ht="15" hidden="false" customHeight="true" outlineLevel="0" collapsed="false">
      <c r="A80" s="10" t="s">
        <v>8</v>
      </c>
      <c r="B80" s="11" t="n">
        <v>1.5</v>
      </c>
      <c r="C80" s="12" t="n">
        <v>0.03</v>
      </c>
      <c r="D80" s="13" t="n">
        <v>0.1687</v>
      </c>
      <c r="E80" s="13" t="n">
        <v>0.1645</v>
      </c>
      <c r="F80" s="14" t="n">
        <v>0.0063</v>
      </c>
      <c r="G80" s="14" t="n">
        <v>0.00483</v>
      </c>
      <c r="H80" s="11" t="n">
        <v>26.79</v>
      </c>
      <c r="I80" s="11" t="n">
        <v>34.93</v>
      </c>
    </row>
    <row r="81" customFormat="false" ht="15" hidden="false" customHeight="true" outlineLevel="0" collapsed="false">
      <c r="A81" s="10" t="s">
        <v>8</v>
      </c>
      <c r="B81" s="11" t="n">
        <v>2</v>
      </c>
      <c r="C81" s="12" t="n">
        <v>0.03</v>
      </c>
      <c r="D81" s="13" t="n">
        <v>0.2249</v>
      </c>
      <c r="E81" s="13" t="n">
        <v>0.2193</v>
      </c>
      <c r="F81" s="14" t="n">
        <v>0.0063</v>
      </c>
      <c r="G81" s="14" t="n">
        <v>0.00483</v>
      </c>
      <c r="H81" s="11" t="n">
        <v>35.72</v>
      </c>
      <c r="I81" s="11" t="n">
        <v>46.57</v>
      </c>
    </row>
    <row r="82" customFormat="false" ht="15" hidden="false" customHeight="true" outlineLevel="0" collapsed="false">
      <c r="A82" s="10" t="s">
        <v>8</v>
      </c>
      <c r="B82" s="11" t="n">
        <v>2.5</v>
      </c>
      <c r="C82" s="12" t="n">
        <v>0.03</v>
      </c>
      <c r="D82" s="13" t="n">
        <v>0.2811</v>
      </c>
      <c r="E82" s="13" t="n">
        <v>0.2742</v>
      </c>
      <c r="F82" s="14" t="n">
        <v>0.0063</v>
      </c>
      <c r="G82" s="14" t="n">
        <v>0.00483</v>
      </c>
      <c r="H82" s="11" t="n">
        <v>44.65</v>
      </c>
      <c r="I82" s="11" t="n">
        <v>58.21</v>
      </c>
    </row>
    <row r="83" customFormat="false" ht="15" hidden="false" customHeight="true" outlineLevel="0" collapsed="false">
      <c r="A83" s="10" t="s">
        <v>8</v>
      </c>
      <c r="B83" s="11" t="n">
        <v>3</v>
      </c>
      <c r="C83" s="12" t="n">
        <v>0.03</v>
      </c>
      <c r="D83" s="13" t="n">
        <v>0.3372</v>
      </c>
      <c r="E83" s="13" t="n">
        <v>0.329</v>
      </c>
      <c r="F83" s="14" t="n">
        <v>0.0063</v>
      </c>
      <c r="G83" s="14" t="n">
        <v>0.00483</v>
      </c>
      <c r="H83" s="11" t="n">
        <v>53.57</v>
      </c>
      <c r="I83" s="11" t="n">
        <v>69.84</v>
      </c>
    </row>
    <row r="84" customFormat="false" ht="15" hidden="false" customHeight="true" outlineLevel="0" collapsed="false">
      <c r="A84" s="10" t="s">
        <v>8</v>
      </c>
      <c r="B84" s="11" t="n">
        <v>3.5</v>
      </c>
      <c r="C84" s="12" t="n">
        <v>0.03</v>
      </c>
      <c r="D84" s="13" t="n">
        <v>0.3934</v>
      </c>
      <c r="E84" s="13" t="n">
        <v>0.3838</v>
      </c>
      <c r="F84" s="14" t="n">
        <v>0.0063</v>
      </c>
      <c r="G84" s="14" t="n">
        <v>0.00483</v>
      </c>
      <c r="H84" s="11" t="n">
        <v>62.49</v>
      </c>
      <c r="I84" s="11" t="n">
        <v>81.47</v>
      </c>
    </row>
    <row r="85" customFormat="false" ht="15" hidden="false" customHeight="true" outlineLevel="0" collapsed="false">
      <c r="A85" s="10" t="s">
        <v>8</v>
      </c>
      <c r="B85" s="11" t="n">
        <v>4</v>
      </c>
      <c r="C85" s="12" t="n">
        <v>0.03</v>
      </c>
      <c r="D85" s="13" t="n">
        <v>0.4495</v>
      </c>
      <c r="E85" s="13" t="n">
        <v>0.4386</v>
      </c>
      <c r="F85" s="14" t="n">
        <v>0.0063</v>
      </c>
      <c r="G85" s="14" t="n">
        <v>0.00483</v>
      </c>
      <c r="H85" s="11" t="n">
        <v>71.4</v>
      </c>
      <c r="I85" s="11" t="n">
        <v>93.09</v>
      </c>
    </row>
    <row r="86" customFormat="false" ht="15" hidden="false" customHeight="true" outlineLevel="0" collapsed="false">
      <c r="A86" s="10" t="s">
        <v>8</v>
      </c>
      <c r="B86" s="11" t="n">
        <v>4.5</v>
      </c>
      <c r="C86" s="12" t="n">
        <v>0.03</v>
      </c>
      <c r="D86" s="13" t="n">
        <v>0.5056</v>
      </c>
      <c r="E86" s="13" t="n">
        <v>0.4935</v>
      </c>
      <c r="F86" s="14" t="n">
        <v>0.0063</v>
      </c>
      <c r="G86" s="14" t="n">
        <v>0.00483</v>
      </c>
      <c r="H86" s="11" t="n">
        <v>80.31</v>
      </c>
      <c r="I86" s="11" t="n">
        <v>104.71</v>
      </c>
    </row>
    <row r="87" customFormat="false" ht="15" hidden="false" customHeight="true" outlineLevel="0" collapsed="false">
      <c r="A87" s="10" t="s">
        <v>8</v>
      </c>
      <c r="B87" s="11" t="n">
        <v>5</v>
      </c>
      <c r="C87" s="12" t="n">
        <v>0.03</v>
      </c>
      <c r="D87" s="13" t="n">
        <v>0.5616</v>
      </c>
      <c r="E87" s="13" t="n">
        <v>0.5483</v>
      </c>
      <c r="F87" s="14" t="n">
        <v>0.0063</v>
      </c>
      <c r="G87" s="14" t="n">
        <v>0.00483</v>
      </c>
      <c r="H87" s="11" t="n">
        <v>89.21</v>
      </c>
      <c r="I87" s="11" t="n">
        <v>116.31</v>
      </c>
    </row>
    <row r="88" customFormat="false" ht="15" hidden="false" customHeight="true" outlineLevel="0" collapsed="false">
      <c r="A88" s="10" t="s">
        <v>8</v>
      </c>
      <c r="B88" s="11" t="n">
        <v>5.5</v>
      </c>
      <c r="C88" s="12" t="n">
        <v>0.03</v>
      </c>
      <c r="D88" s="13" t="n">
        <v>0.6176</v>
      </c>
      <c r="E88" s="13" t="n">
        <v>0.6031</v>
      </c>
      <c r="F88" s="14" t="n">
        <v>0.0063</v>
      </c>
      <c r="G88" s="14" t="n">
        <v>0.00483</v>
      </c>
      <c r="H88" s="11" t="n">
        <v>98.1</v>
      </c>
      <c r="I88" s="11" t="n">
        <v>127.91</v>
      </c>
    </row>
    <row r="89" customFormat="false" ht="15" hidden="false" customHeight="true" outlineLevel="0" collapsed="false">
      <c r="A89" s="10" t="s">
        <v>8</v>
      </c>
      <c r="B89" s="11" t="n">
        <v>6</v>
      </c>
      <c r="C89" s="12" t="n">
        <v>0.03</v>
      </c>
      <c r="D89" s="13" t="n">
        <v>0.6736</v>
      </c>
      <c r="E89" s="13" t="n">
        <v>0.658</v>
      </c>
      <c r="F89" s="14" t="n">
        <v>0.0063</v>
      </c>
      <c r="G89" s="14" t="n">
        <v>0.00483</v>
      </c>
      <c r="H89" s="11" t="n">
        <v>106.99</v>
      </c>
      <c r="I89" s="11" t="n">
        <v>139.5</v>
      </c>
    </row>
    <row r="90" customFormat="false" ht="15" hidden="false" customHeight="true" outlineLevel="0" collapsed="false">
      <c r="A90" s="10" t="s">
        <v>8</v>
      </c>
      <c r="B90" s="11" t="n">
        <v>6.5</v>
      </c>
      <c r="C90" s="12" t="n">
        <v>0.03</v>
      </c>
      <c r="D90" s="13" t="n">
        <v>0.7295</v>
      </c>
      <c r="E90" s="13" t="n">
        <v>0.7128</v>
      </c>
      <c r="F90" s="14" t="n">
        <v>0.0063</v>
      </c>
      <c r="G90" s="14" t="n">
        <v>0.00483</v>
      </c>
      <c r="H90" s="11" t="n">
        <v>115.87</v>
      </c>
      <c r="I90" s="11" t="n">
        <v>151.07</v>
      </c>
    </row>
    <row r="91" customFormat="false" ht="15" hidden="false" customHeight="true" outlineLevel="0" collapsed="false">
      <c r="A91" s="10" t="s">
        <v>8</v>
      </c>
      <c r="B91" s="11" t="n">
        <v>7</v>
      </c>
      <c r="C91" s="12" t="n">
        <v>0.03</v>
      </c>
      <c r="D91" s="13" t="n">
        <v>0.7853</v>
      </c>
      <c r="E91" s="13" t="n">
        <v>0.7676</v>
      </c>
      <c r="F91" s="14" t="n">
        <v>0.0063</v>
      </c>
      <c r="G91" s="14" t="n">
        <v>0.00483</v>
      </c>
      <c r="H91" s="11" t="n">
        <v>124.74</v>
      </c>
      <c r="I91" s="11" t="n">
        <v>162.64</v>
      </c>
    </row>
    <row r="92" customFormat="false" ht="15" hidden="false" customHeight="true" outlineLevel="0" collapsed="false">
      <c r="A92" s="10" t="s">
        <v>8</v>
      </c>
      <c r="B92" s="11" t="n">
        <v>7.5</v>
      </c>
      <c r="C92" s="12" t="n">
        <v>0.03</v>
      </c>
      <c r="D92" s="13" t="n">
        <v>0.8411</v>
      </c>
      <c r="E92" s="13" t="n">
        <v>0.8225</v>
      </c>
      <c r="F92" s="14" t="n">
        <v>0.0063</v>
      </c>
      <c r="G92" s="14" t="n">
        <v>0.00483</v>
      </c>
      <c r="H92" s="11" t="n">
        <v>133.6</v>
      </c>
      <c r="I92" s="11" t="n">
        <v>174.19</v>
      </c>
    </row>
    <row r="93" customFormat="false" ht="15" hidden="false" customHeight="true" outlineLevel="0" collapsed="false">
      <c r="A93" s="10" t="s">
        <v>8</v>
      </c>
      <c r="B93" s="11" t="n">
        <v>8</v>
      </c>
      <c r="C93" s="12" t="n">
        <v>0.03</v>
      </c>
      <c r="D93" s="13" t="n">
        <v>0.8968</v>
      </c>
      <c r="E93" s="13" t="n">
        <v>0.8773</v>
      </c>
      <c r="F93" s="14" t="n">
        <v>0.0063</v>
      </c>
      <c r="G93" s="14" t="n">
        <v>0.00483</v>
      </c>
      <c r="H93" s="11" t="n">
        <v>142.45</v>
      </c>
      <c r="I93" s="11" t="n">
        <v>185.73</v>
      </c>
    </row>
    <row r="94" customFormat="false" ht="15" hidden="false" customHeight="true" outlineLevel="0" collapsed="false">
      <c r="A94" s="10" t="s">
        <v>8</v>
      </c>
      <c r="B94" s="11" t="n">
        <v>8.5</v>
      </c>
      <c r="C94" s="12" t="n">
        <v>0.03</v>
      </c>
      <c r="D94" s="13" t="n">
        <v>0.9525</v>
      </c>
      <c r="E94" s="13" t="n">
        <v>0.9321</v>
      </c>
      <c r="F94" s="14" t="n">
        <v>0.0063</v>
      </c>
      <c r="G94" s="14" t="n">
        <v>0.00483</v>
      </c>
      <c r="H94" s="11" t="n">
        <v>151.29</v>
      </c>
      <c r="I94" s="11" t="n">
        <v>197.26</v>
      </c>
    </row>
    <row r="95" customFormat="false" ht="15" hidden="false" customHeight="true" outlineLevel="0" collapsed="false">
      <c r="A95" s="10" t="s">
        <v>8</v>
      </c>
      <c r="B95" s="11" t="n">
        <v>9</v>
      </c>
      <c r="C95" s="12" t="n">
        <v>0.03</v>
      </c>
      <c r="D95" s="13" t="n">
        <v>1.008</v>
      </c>
      <c r="E95" s="13" t="n">
        <v>0.987</v>
      </c>
      <c r="F95" s="14" t="n">
        <v>0.0063</v>
      </c>
      <c r="G95" s="14" t="n">
        <v>0.00483</v>
      </c>
      <c r="H95" s="11" t="n">
        <v>160.12</v>
      </c>
      <c r="I95" s="11" t="n">
        <v>208.77</v>
      </c>
    </row>
    <row r="96" customFormat="false" ht="15" hidden="false" customHeight="true" outlineLevel="0" collapsed="false">
      <c r="A96" s="10" t="s">
        <v>8</v>
      </c>
      <c r="B96" s="11" t="n">
        <v>9.5</v>
      </c>
      <c r="C96" s="12" t="n">
        <v>0.03</v>
      </c>
      <c r="D96" s="13" t="n">
        <v>1.0635</v>
      </c>
      <c r="E96" s="13" t="n">
        <v>1.0418</v>
      </c>
      <c r="F96" s="14" t="n">
        <v>0.0063</v>
      </c>
      <c r="G96" s="14" t="n">
        <v>0.00483</v>
      </c>
      <c r="H96" s="11" t="n">
        <v>168.93</v>
      </c>
      <c r="I96" s="11" t="n">
        <v>220.26</v>
      </c>
    </row>
    <row r="97" customFormat="false" ht="15" hidden="false" customHeight="true" outlineLevel="0" collapsed="false">
      <c r="A97" s="10" t="s">
        <v>8</v>
      </c>
      <c r="B97" s="11" t="n">
        <v>10</v>
      </c>
      <c r="C97" s="12" t="n">
        <v>0.03</v>
      </c>
      <c r="D97" s="13" t="n">
        <v>1.119</v>
      </c>
      <c r="E97" s="13" t="n">
        <v>1.0966</v>
      </c>
      <c r="F97" s="14" t="n">
        <v>0.0063</v>
      </c>
      <c r="G97" s="14" t="n">
        <v>0.00483</v>
      </c>
      <c r="H97" s="11" t="n">
        <v>177.74</v>
      </c>
      <c r="I97" s="11" t="n">
        <v>231.74</v>
      </c>
    </row>
    <row r="98" customFormat="false" ht="15" hidden="false" customHeight="true" outlineLevel="0" collapsed="false">
      <c r="A98" s="10" t="s">
        <v>8</v>
      </c>
      <c r="B98" s="11" t="n">
        <v>10.5</v>
      </c>
      <c r="C98" s="12" t="n">
        <v>0.03</v>
      </c>
      <c r="D98" s="13" t="n">
        <v>1.1743</v>
      </c>
      <c r="E98" s="13" t="n">
        <v>1.1515</v>
      </c>
      <c r="F98" s="14" t="n">
        <v>0.0063</v>
      </c>
      <c r="G98" s="14" t="n">
        <v>0.00483</v>
      </c>
      <c r="H98" s="11" t="n">
        <v>186.53</v>
      </c>
      <c r="I98" s="11" t="n">
        <v>243.2</v>
      </c>
    </row>
    <row r="99" customFormat="false" ht="15" hidden="false" customHeight="true" outlineLevel="0" collapsed="false">
      <c r="A99" s="10" t="s">
        <v>8</v>
      </c>
      <c r="B99" s="11" t="n">
        <v>11</v>
      </c>
      <c r="C99" s="12" t="n">
        <v>0.03</v>
      </c>
      <c r="D99" s="13" t="n">
        <v>1.2295</v>
      </c>
      <c r="E99" s="13" t="n">
        <v>1.2063</v>
      </c>
      <c r="F99" s="14" t="n">
        <v>0.0063</v>
      </c>
      <c r="G99" s="14" t="n">
        <v>0.00483</v>
      </c>
      <c r="H99" s="11" t="n">
        <v>195.3</v>
      </c>
      <c r="I99" s="11" t="n">
        <v>254.64</v>
      </c>
    </row>
    <row r="100" customFormat="false" ht="15" hidden="false" customHeight="true" outlineLevel="0" collapsed="false">
      <c r="A100" s="10" t="s">
        <v>8</v>
      </c>
      <c r="B100" s="11" t="n">
        <v>11.5</v>
      </c>
      <c r="C100" s="12" t="n">
        <v>0.03</v>
      </c>
      <c r="D100" s="13" t="n">
        <v>1.2847</v>
      </c>
      <c r="E100" s="13" t="n">
        <v>1.2611</v>
      </c>
      <c r="F100" s="14" t="n">
        <v>0.0063</v>
      </c>
      <c r="G100" s="14" t="n">
        <v>0.00483</v>
      </c>
      <c r="H100" s="11" t="n">
        <v>204.06</v>
      </c>
      <c r="I100" s="11" t="n">
        <v>266.06</v>
      </c>
    </row>
    <row r="101" customFormat="false" ht="15" hidden="false" customHeight="true" outlineLevel="0" collapsed="false">
      <c r="A101" s="10" t="s">
        <v>8</v>
      </c>
      <c r="B101" s="11" t="n">
        <v>12</v>
      </c>
      <c r="C101" s="12" t="n">
        <v>0.03</v>
      </c>
      <c r="D101" s="13" t="n">
        <v>1.3398</v>
      </c>
      <c r="E101" s="13" t="n">
        <v>1.3159</v>
      </c>
      <c r="F101" s="14" t="n">
        <v>0.0063</v>
      </c>
      <c r="G101" s="14" t="n">
        <v>0.00483</v>
      </c>
      <c r="H101" s="11" t="n">
        <v>212.81</v>
      </c>
      <c r="I101" s="11" t="n">
        <v>277.47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2026-06-18T14:50:52Z</dcterms:created>
  <dc:creator>openpyxl</dc:creator>
  <dc:description/>
  <dc:language>en-US</dc:language>
  <cp:lastModifiedBy/>
  <dcterms:modified xsi:type="dcterms:W3CDTF">2026-08-12T21:32:02Z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