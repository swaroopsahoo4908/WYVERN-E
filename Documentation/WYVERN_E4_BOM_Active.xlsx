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Already Acquired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<sst xmlns="http://schemas.openxmlformats.org/spreadsheetml/2006/main" count="437" uniqueCount="202">
  <si>
    <t xml:space="preserve">WYVERN-E - Active Procurement BOM (only items actually being bought)</t>
  </si>
  <si>
    <t xml:space="preserve">Trimmed copy of WYVERN_E4_BOM.xlsx, 2026-08-09e. Fully regenerated to match the live Amazon cart reconciliation (Pico 2W restored qty1, EMAX servo reduced to qty1, HX711 increased to qty3, Section 10 rebuilt: TRYMAG magnets dropped for Caturledas 6x2mm-250pack, laser module/Loc-Line/SmallRig light/both mesh packs added). Contains ONLY line items with a real, nonzero cost confirmed in one of the live carts (Amazon/Adafruit/Estes/Bambu) or the custom PCB fab order. The master WYVERN_E4_BOM.xlsx remains the full historical record (including items still needed but not yet in a cart, e.g. the F15-4 flight motor and E16-4 commissioning motors - see that file before assuming procurement is complete).</t>
  </si>
  <si>
    <t xml:space="preserve">1. Flight Computer &amp; Sensors</t>
  </si>
  <si>
    <t xml:space="preserve">Item</t>
  </si>
  <si>
    <t xml:space="preserve">Storefront</t>
  </si>
  <si>
    <t xml:space="preserve">Part # / Spec</t>
  </si>
  <si>
    <t xml:space="preserve">Link</t>
  </si>
  <si>
    <t xml:space="preserve">Note</t>
  </si>
  <si>
    <t xml:space="preserve">Qty</t>
  </si>
  <si>
    <t xml:space="preserve">Unit ($)</t>
  </si>
  <si>
    <t xml:space="preserve">Line ($)</t>
  </si>
  <si>
    <t xml:space="preserve">Raspberry Pi Pico 2 W (pre-soldered header) - flight FC + spare</t>
  </si>
  <si>
    <t xml:space="preserve">Amazon</t>
  </si>
  <si>
    <t xml:space="preserve">B0DP54FWX1</t>
  </si>
  <si>
    <t xml:space="preserve">Buy</t>
  </si>
  <si>
    <t xml:space="preserve">2026-08-09e: IS in live Amazon cart ($16.31, qty1 - corrected from qty2). Contradicts earlier "superseded, not being bought" note - real cart wins. Role unclear (bench/dev spare alongside custom RP2350B PCB, or KB2040 replacement) - confirm intended use before assuming it is flight hardware.</t>
  </si>
  <si>
    <t xml:space="preserve">BNO085 9-DOF external IMU (single unit, via PCB's one STEMMA-QT port; mounted at TVC/electronics boundary)</t>
  </si>
  <si>
    <t xml:space="preserve">Adafruit</t>
  </si>
  <si>
    <t xml:space="preserve">PID 4754</t>
  </si>
  <si>
    <t xml:space="preserve">in Adafruit cart (qty2 currently, 1 spare); design needs only 1 - PCB has a single STEMMA-QT port, not 3 IMU buses</t>
  </si>
  <si>
    <t xml:space="preserve">i3 4K Thumb Action Camera (64G card, self-contained ~36 g)</t>
  </si>
  <si>
    <t xml:space="preserve">i3 B0G4PD79FL (32G variant)</t>
  </si>
  <si>
    <t xml:space="preserve">in cart (32G variant, i3 B0G4PD79FL)</t>
  </si>
  <si>
    <t xml:space="preserve">Subtotal</t>
  </si>
  <si>
    <t xml:space="preserve">2. Power (2S LiPo + UBEC)</t>
  </si>
  <si>
    <t xml:space="preserve">Zeee 2S 7.4 V 450 mAh LiPo (4-pk) - light flight pack</t>
  </si>
  <si>
    <t xml:space="preserve">OVONIC B0D3F5SQ5T</t>
  </si>
  <si>
    <t xml:space="preserve">in cart; 2-pack ~7.6V 450mAh 2S w/ XT30 (replaces Zeee)</t>
  </si>
  <si>
    <t xml:space="preserve">HTRC B3 2S-3S LiPo balance charger</t>
  </si>
  <si>
    <t xml:space="preserve">SSUPCHG B0FPDJP4GK</t>
  </si>
  <si>
    <t xml:space="preserve">in cart; replaces HTRC B3 (superseded)</t>
  </si>
  <si>
    <t xml:space="preserve">3. TVC - flight (servo, 2-axis gimbal)</t>
  </si>
  <si>
    <t xml:space="preserve">EMAX ES08MA II metal-gear analog micro servo (4-pack)</t>
  </si>
  <si>
    <t xml:space="preserve">B07KYK9N1G</t>
  </si>
  <si>
    <t xml:space="preserve">Cart reconciliation 2026-08-09e: cart has qty1 (1x 4-pack = 4 servos), not 2 - reduced from qty2. Flight+spare design intent (qty=8) not currently covered by cart; confirm if 2nd pack still needed.</t>
  </si>
  <si>
    <t xml:space="preserve">XIKE MR105-2RS ball bearings (gimbal, 10-pk)</t>
  </si>
  <si>
    <t xml:space="preserve">B09DJY425B</t>
  </si>
  <si>
    <t xml:space="preserve">in cart</t>
  </si>
  <si>
    <t xml:space="preserve">uxcell M2 15 mm linkage rod-end ball joint (4 PCS)</t>
  </si>
  <si>
    <t xml:space="preserve">B07Q2V3R61</t>
  </si>
  <si>
    <t xml:space="preserve">Honbay 300 mm servo extension leads (10-pk)</t>
  </si>
  <si>
    <t xml:space="preserve">B01LA9YDEI</t>
  </si>
  <si>
    <t xml:space="preserve">4. Recovery (motor ejection - two-body-tube separation at the bulkhead joint)</t>
  </si>
  <si>
    <t xml:space="preserve">Estes 24 in rip-stop nylon parachute (FLIGHT canopy - CHUTE_D=0.6096 m in all sims)</t>
  </si>
  <si>
    <t xml:space="preserve">Estes</t>
  </si>
  <si>
    <t xml:space="preserve">24in chute</t>
  </si>
  <si>
    <t xml:space="preserve">2026-08b: switched 18in-&gt;24in, descent 6.7-&gt;5.0 m/s. Only 1 needed (not 4) - confirmed 2026-08-09.</t>
  </si>
  <si>
    <t xml:space="preserve">Aramid (Kevlar) shock cord - 19 ft</t>
  </si>
  <si>
    <t xml:space="preserve">Aramid 19ft</t>
  </si>
  <si>
    <t xml:space="preserve">Estes recovery wadding (72 sheets)</t>
  </si>
  <si>
    <t xml:space="preserve">Recovery wadding</t>
  </si>
  <si>
    <t xml:space="preserve">in cart (qty1) - matches design need exactly, confirmed 2026-08-09</t>
  </si>
  <si>
    <t xml:space="preserve">5. Propulsion (Estes motors + launch system)</t>
  </si>
  <si>
    <t xml:space="preserve">Estes F15-0 2-ct (ground stands; 0-delay plugged)</t>
  </si>
  <si>
    <t xml:space="preserve">F15-0 (2-ct)</t>
  </si>
  <si>
    <t xml:space="preserve">Static thrust curves + MTVC + servo TVC on the balance (jetvane dropped).</t>
  </si>
  <si>
    <t xml:space="preserve">Estes Pro Series II Launch Controller</t>
  </si>
  <si>
    <t xml:space="preserve">Pro Series II LC</t>
  </si>
  <si>
    <t xml:space="preserve">REIMBURSED - see Summary</t>
  </si>
  <si>
    <t xml:space="preserve">6. Airframe filament (Amazon + Bambu Lab - see flag notes, scope mismatch vs PLA/PETG-CF design)</t>
  </si>
  <si>
    <t xml:space="preserve">kexcelled Flame Retardant PC Filament (White FR, UL94 V0), Amazon - 1 kg</t>
  </si>
  <si>
    <t xml:space="preserve">B0FN7Z6FF1</t>
  </si>
  <si>
    <t xml:space="preserve">2026-08-09b: real Amazon cart item (swapped from Bambu Lab sourcing). WARNING - this material was struck from the design scope in 2026-08b (PC-FR/ASA-Aero/ABS/PC coupon-testing program dropped; PLA+PETG-CF are the only current airframe materials, see CONFLICTS.md sec7 and BUILD_READINESS.md sec2). Confirm this purchase is intentional (reserve stock / RQ2 baseline archive) rather than assumed as a current flight-part material.</t>
  </si>
  <si>
    <t xml:space="preserve">ASA Aero (White 46100), Bambu Lab filament w/ spool - 1 kg</t>
  </si>
  <si>
    <t xml:space="preserve">Bambu Lab</t>
  </si>
  <si>
    <t xml:space="preserve">White 46100</t>
  </si>
  <si>
    <t xml:space="preserve">2026-08-09: real Bambu Lab cart item. WARNING - this material was struck from the design scope in 2026-08b (PC-FR/ASA-Aero/ABS/PC coupon-testing program dropped; PLA+PETG-CF are the only current airframe materials, see CONFLICTS.md sec7 and BUILD_READINESS.md sec2). Confirm this purchase is intentional (reserve stock / RQ2 baseline archive) rather than assumed as a current flight-part material.</t>
  </si>
  <si>
    <t xml:space="preserve">eSUN ABS+ Filament (Black), Amazon - 1 kg</t>
  </si>
  <si>
    <t xml:space="preserve">B07FQ5MC78</t>
  </si>
  <si>
    <t xml:space="preserve">ANYCUBIC PC Filament (Black), Amazon - 1 kg</t>
  </si>
  <si>
    <t xml:space="preserve">B0FPQ7V6T3</t>
  </si>
  <si>
    <t xml:space="preserve">iSANMATE ASA Filament (Black), Amazon - 1 kg</t>
  </si>
  <si>
    <t xml:space="preserve">B0DB16JG74</t>
  </si>
  <si>
    <t xml:space="preserve">2026-08-09c: real Amazon cart item, added. Plain ASA (Black), not the same as the Bambu ASA-Aero (White, row 52, foamed/lightweight variant) already in the BOM - both now present. Same scope-mismatch flag as the rest of Section 6: not the design's current PLA+PETG-CF material, confirm intentional.</t>
  </si>
  <si>
    <t xml:space="preserve">7. Harness, connectors, prototyping &amp; assembly</t>
  </si>
  <si>
    <t xml:space="preserve">Silicone USB-C dust cover inserts (10-pk)</t>
  </si>
  <si>
    <t xml:space="preserve">PID 4993</t>
  </si>
  <si>
    <t xml:space="preserve">in Adafruit cart (qty1) - confirmed sufficient, no more needed (2026-08-09)</t>
  </si>
  <si>
    <t xml:space="preserve">8. Ground test - TVC balance + static stand (load cells + DAQ)</t>
  </si>
  <si>
    <t xml:space="preserve">Adafruit strain-gauge load cell 1 kg (lateral X,Y)</t>
  </si>
  <si>
    <t xml:space="preserve">PID 4540</t>
  </si>
  <si>
    <t xml:space="preserve">in Adafruit cart</t>
  </si>
  <si>
    <t xml:space="preserve">Adafruit strain-gauge load cell 20 kg (static stand)</t>
  </si>
  <si>
    <t xml:space="preserve">PID 4543</t>
  </si>
  <si>
    <t xml:space="preserve">Adafruit HX711 24-bit ADC</t>
  </si>
  <si>
    <t xml:space="preserve">HiLetgo B00XRRNCOO (3pcs pack)</t>
  </si>
  <si>
    <t xml:space="preserve">Cart reconciliation 2026-08-09e: cart has qty3 (3x 3-pack = 9 units), not 2 - increased from qty2 to match live cart.</t>
  </si>
  <si>
    <t xml:space="preserve">UCEC calibration weight set 10 mg-100 g</t>
  </si>
  <si>
    <t xml:space="preserve">B08R8RGCRS</t>
  </si>
  <si>
    <t xml:space="preserve">9. Custom PCB + 2026-08-09 cart items</t>
  </si>
  <si>
    <t xml:space="preserve">Custom PCB fabrication (JLCPCB) - WYVERN-E flight computer, 3 boards</t>
  </si>
  <si>
    <t xml:space="preserve">JLCPCB</t>
  </si>
  <si>
    <t xml:space="preserve">RP2350B flight computer board</t>
  </si>
  <si>
    <t xml:space="preserve">DFM-reviewed Gerber submission (soldermask/silkscreen/SMT placement flags addressed). $195 total for 3 fabricated boards.</t>
  </si>
  <si>
    <t xml:space="preserve">eMagTech F-F servo extension cable 10cm (10-pk)</t>
  </si>
  <si>
    <t xml:space="preserve">B0FB8QJZ33</t>
  </si>
  <si>
    <t xml:space="preserve">BrewJa JST 1.5mm 3-pin JR-style servo wire plug converter (4pc)</t>
  </si>
  <si>
    <t xml:space="preserve">B0CKYWY8T9</t>
  </si>
  <si>
    <t xml:space="preserve">Adafruit STEMMA QT 4-pin cable, 400mm</t>
  </si>
  <si>
    <t xml:space="preserve">PID 5385</t>
  </si>
  <si>
    <t xml:space="preserve">in cart (qty2, updated 2026-08-09); FC-to-external-BNO085 run across bulkhead pass-through, see Recovery.md sec5</t>
  </si>
  <si>
    <t xml:space="preserve">Adafruit strain-gauge load cell 5kg</t>
  </si>
  <si>
    <t xml:space="preserve">PID 4541</t>
  </si>
  <si>
    <t xml:space="preserve">in cart; confirmed sourcing (Amazon 5kg cell dropped 2026-08-09, see row 92)</t>
  </si>
  <si>
    <t xml:space="preserve">Adafruit strain-gauge load cell 10kg</t>
  </si>
  <si>
    <t xml:space="preserve">PID 4542</t>
  </si>
  <si>
    <t xml:space="preserve">in cart; rig mapping (TVC balance vs static stand) still to confirm</t>
  </si>
  <si>
    <t xml:space="preserve">Route Package Protection (Estes shipping insurance)</t>
  </si>
  <si>
    <t xml:space="preserve">Route</t>
  </si>
  <si>
    <t xml:space="preserve">Estes 18in Rip-Stop Nylon Parachute</t>
  </si>
  <si>
    <t xml:space="preserve">18in chute</t>
  </si>
  <si>
    <t xml:space="preserve">in cart; design/sims use 24in canopy only (Mathematics.md sec6) - confirm intended use (spare/drogue) or remove</t>
  </si>
  <si>
    <t xml:space="preserve">10. Field/Support Equipment (magnets, laser, hose, video light, mesh, smoke)</t>
  </si>
  <si>
    <t xml:space="preserve">VSKIZ small neodymium magnets, 10x3mm, 50-pack</t>
  </si>
  <si>
    <t xml:space="preserve">B0BVY5VYQY</t>
  </si>
  <si>
    <t xml:space="preserve">2026-08-09: added per request. Same VSKIZ listing also offers a 6x2mm-120p size variant if consolidating to one seller is preferred.</t>
  </si>
  <si>
    <t xml:space="preserve">COLBOR CF3 30W portable rechargeable fog machine (photography/ground-test smoke)</t>
  </si>
  <si>
    <t xml:space="preserve">B0FW4VQ72H</t>
  </si>
  <si>
    <t xml:space="preserve">2026-08-09: added per request, CF3 (smaller) size selected over CF5.</t>
  </si>
  <si>
    <t xml:space="preserve">OXLasers 520nm focusable green line laser module (positioning/alignment)</t>
  </si>
  <si>
    <t xml:space="preserve">B0CKP4SYL7</t>
  </si>
  <si>
    <t xml:space="preserve">2026-08-09e: in live Amazon cart.</t>
  </si>
  <si>
    <t xml:space="preserve">Loc-Line 1/4in modular hose sample kit (flexible positioning/coolant hose)</t>
  </si>
  <si>
    <t xml:space="preserve">B0GZL8N636</t>
  </si>
  <si>
    <t xml:space="preserve">SmallRig P96L RGB portable video light (photo/video documentation)</t>
  </si>
  <si>
    <t xml:space="preserve">B09G98NRQZ</t>
  </si>
  <si>
    <t xml:space="preserve">80 Mesh 304 stainless steel woven wire mesh, 5-pack, 7.8x11.8in</t>
  </si>
  <si>
    <t xml:space="preserve">B09VNKDS9R</t>
  </si>
  <si>
    <t xml:space="preserve">40 Mesh 304 stainless steel wire mesh, ANGELIOX, 2-pack, 12x45in</t>
  </si>
  <si>
    <t xml:space="preserve">B0BBMTDK88</t>
  </si>
  <si>
    <t xml:space="preserve">Caturledas small neodymium magnets, 6x2mm, 250-pack</t>
  </si>
  <si>
    <t xml:space="preserve">B0DBVJF1G2</t>
  </si>
  <si>
    <t xml:space="preserve">2026-08-09e: actual cart item for 6x2mm size (Caturledas 250-pack, not TRYMAG 100-pack row 115 - superseded).</t>
  </si>
  <si>
    <t xml:space="preserve">GROSS TOTAL (all items above)</t>
  </si>
  <si>
    <t xml:space="preserve">Less: Estes Pro Series II Launch Controller (reimbursed)</t>
  </si>
  <si>
    <t xml:space="preserve">NET SPEND (this procurement round)</t>
  </si>
  <si>
    <t xml:space="preserve">Already Acquired (in master BOM, excluded from to-buy)</t>
  </si>
  <si>
    <t xml:space="preserve">Paid ea ($)</t>
  </si>
  <si>
    <t xml:space="preserve">Bambu Black PETG-CF (materials-test coupons) - 2 kg</t>
  </si>
  <si>
    <t xml:space="preserve">PETG-CF</t>
  </si>
  <si>
    <t xml:space="preserve">Bambu White PLA - 1 kg</t>
  </si>
  <si>
    <t xml:space="preserve">PLA</t>
  </si>
  <si>
    <t xml:space="preserve">Bambu Black PLA - 1 kg</t>
  </si>
  <si>
    <t xml:space="preserve">TOMSHIELE 25x11 mm 12 V electromagnet (5 kg) - magnetic TVC (RQ1)</t>
  </si>
  <si>
    <t xml:space="preserve">TOMSHIELE 25x11 12V</t>
  </si>
  <si>
    <t xml:space="preserve">uxcell same spec if OOS</t>
  </si>
  <si>
    <t xml:space="preserve">Neodymium disc magnet 30 mm x 3 mm N52 - magnetic TVC</t>
  </si>
  <si>
    <t xml:space="preserve">30x3 N52</t>
  </si>
  <si>
    <t xml:space="preserve">CMS/DIYMAG</t>
  </si>
  <si>
    <t xml:space="preserve">IRF520 MOSFET (pack of 10) - solenoid driver</t>
  </si>
  <si>
    <t xml:space="preserve">IRF520 (10pk)</t>
  </si>
  <si>
    <t xml:space="preserve">1N4007 flyback diode (pack of 100) - solenoid driver</t>
  </si>
  <si>
    <t xml:space="preserve">1N4007 (100pk)</t>
  </si>
  <si>
    <t xml:space="preserve">Arduino Nano - solenoid-rig bench DAQ</t>
  </si>
  <si>
    <t xml:space="preserve">Nano (clone OK)</t>
  </si>
  <si>
    <t xml:space="preserve">bench testing</t>
  </si>
  <si>
    <t xml:space="preserve">12 V 2 A wall adapter (5.5x2.1 mm barrel) - solenoid rig</t>
  </si>
  <si>
    <t xml:space="preserve">12V 2A PSU</t>
  </si>
  <si>
    <t xml:space="preserve">Breadboard + jumper wires (M-M / M-F / F-F)</t>
  </si>
  <si>
    <t xml:space="preserve">breadboard+jumpers</t>
  </si>
  <si>
    <t xml:space="preserve">J-B Weld Original twin-tube epoxy</t>
  </si>
  <si>
    <t xml:space="preserve">J-B Weld Original</t>
  </si>
  <si>
    <t xml:space="preserve">NOT KwikWeld</t>
  </si>
  <si>
    <t xml:space="preserve">Super Lube 21030 PTFE grease (ball/socket lube)</t>
  </si>
  <si>
    <t xml:space="preserve">Super Lube 21030</t>
  </si>
  <si>
    <t xml:space="preserve">uni USB-C microSD card reader</t>
  </si>
  <si>
    <t xml:space="preserve">USB-C SD reader</t>
  </si>
  <si>
    <t xml:space="preserve">price est.</t>
  </si>
  <si>
    <t xml:space="preserve">32 GB microSD card (flight log + video)</t>
  </si>
  <si>
    <t xml:space="preserve">microSD 32GB</t>
  </si>
  <si>
    <t xml:space="preserve">Adafruit BME688 temp/humidity/pressure/gas (STEMMA QT)</t>
  </si>
  <si>
    <t xml:space="preserve">PID 5046</t>
  </si>
  <si>
    <t xml:space="preserve">Mechatronics MS1238E12B1-6-FHR 120 mm high-static fan</t>
  </si>
  <si>
    <t xml:space="preserve">DigiKey</t>
  </si>
  <si>
    <t xml:space="preserve">MS1238E12B1-6-FHR</t>
  </si>
  <si>
    <t xml:space="preserve">Neodymium magnet, mag-through-diameter, 1/8 in x 3/16 in OD</t>
  </si>
  <si>
    <t xml:space="preserve">McMaster-Carr</t>
  </si>
  <si>
    <t xml:space="preserve">5862K415</t>
  </si>
  <si>
    <t xml:space="preserve">magnetic TVC</t>
  </si>
  <si>
    <t xml:space="preserve">AIRTAK suction electromagnet 30x22 mm DC12V 100N (10 kg)</t>
  </si>
  <si>
    <t xml:space="preserve">AIRTAK 30x22 12V</t>
  </si>
  <si>
    <t xml:space="preserve">alt electromagnet</t>
  </si>
  <si>
    <t xml:space="preserve">MECCANIXITY 301 SS foil roll 0.1 x 20 mm x 1 m (shim stock)</t>
  </si>
  <si>
    <t xml:space="preserve">301 SS foil</t>
  </si>
  <si>
    <t xml:space="preserve">flexure/shim</t>
  </si>
  <si>
    <t xml:space="preserve">Adafruit TMAG5273 (A1) 3D Hall-effect magnetometer (STEMMA QT)</t>
  </si>
  <si>
    <t xml:space="preserve">PID 6489</t>
  </si>
  <si>
    <t xml:space="preserve">magnetic-gimbal position sensing</t>
  </si>
  <si>
    <t xml:space="preserve">Adafruit VL53L4CD Time-of-Flight sensor (owned; removed from design)</t>
  </si>
  <si>
    <t xml:space="preserve">PID 5396</t>
  </si>
  <si>
    <t xml:space="preserve">not used in design</t>
  </si>
  <si>
    <t xml:space="preserve">Adafruit PCA9548 8-ch I2C multiplexer</t>
  </si>
  <si>
    <t xml:space="preserve">PID 5626</t>
  </si>
  <si>
    <t xml:space="preserve">owned - kept in Acquired</t>
  </si>
  <si>
    <t xml:space="preserve">STEMMA QT JST-SH 4-pin cable, 300 mm</t>
  </si>
  <si>
    <t xml:space="preserve">PID 5384</t>
  </si>
  <si>
    <t xml:space="preserve">Total already paid</t>
  </si>
  <si>
    <t xml:space="preserve">WYVERN-E - Active Procurement Summary</t>
  </si>
  <si>
    <t xml:space="preserve">Gross total (this round)</t>
  </si>
  <si>
    <t xml:space="preserve">Less: reimbursed (launch controller)</t>
  </si>
  <si>
    <t xml:space="preserve">Already acquired (owned, separate from this round)</t>
  </si>
  <si>
    <t xml:space="preserve">TOTAL PROGRAM SPEND (this round + already acquired)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</si>
</sst>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13</v>
      </c>
      <c r="D6" s="0" t="s">
        <v>14</v>
      </c>
      <c r="E6" s="0" t="s">
        <v>15</v>
      </c>
      <c r="F6" s="0" t="n">
        <v>1</v>
      </c>
      <c r="G6" s="0" t="n">
        <v>16.31</v>
      </c>
      <c r="H6" s="0" t="n">
        <f aca="false">F6*G6</f>
        <v>16.31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18</v>
      </c>
      <c r="D7" s="0" t="s">
        <v>14</v>
      </c>
      <c r="E7" s="0" t="s">
        <v>19</v>
      </c>
      <c r="F7" s="0" t="n">
        <v>1</v>
      </c>
      <c r="G7" s="0" t="n">
        <v>29.5</v>
      </c>
      <c r="H7" s="0" t="n">
        <f aca="false">F7*G7</f>
        <v>29.5</v>
      </c>
    </row>
    <row r="8" customFormat="false" ht="15" hidden="false" customHeight="false" outlineLevel="0" collapsed="false">
      <c r="A8" s="0" t="s">
        <v>20</v>
      </c>
      <c r="B8" s="0" t="s">
        <v>12</v>
      </c>
      <c r="C8" s="0" t="s">
        <v>21</v>
      </c>
      <c r="D8" s="0" t="s">
        <v>14</v>
      </c>
      <c r="E8" s="0" t="s">
        <v>22</v>
      </c>
      <c r="F8" s="0" t="n">
        <v>1</v>
      </c>
      <c r="G8" s="0" t="n">
        <v>67.99</v>
      </c>
      <c r="H8" s="0" t="n">
        <f aca="false">F8*G8</f>
        <v>67.99</v>
      </c>
    </row>
    <row r="9" customFormat="false" ht="15" hidden="false" customHeight="false" outlineLevel="0" collapsed="false">
      <c r="A9" s="0" t="s">
        <v>23</v>
      </c>
      <c r="H9" s="0" t="n">
        <f aca="false">SUM(H6:H8)</f>
        <v>113.8</v>
      </c>
    </row>
    <row r="11" customFormat="false" ht="15" hidden="false" customHeight="false" outlineLevel="0" collapsed="false">
      <c r="A11" s="0" t="s">
        <v>24</v>
      </c>
    </row>
    <row r="12" customFormat="false" ht="15" hidden="false" customHeight="false" outlineLevel="0" collapsed="false">
      <c r="A12" s="0" t="s">
        <v>3</v>
      </c>
      <c r="B12" s="0" t="s">
        <v>4</v>
      </c>
      <c r="C12" s="0" t="s">
        <v>5</v>
      </c>
      <c r="D12" s="0" t="s">
        <v>6</v>
      </c>
      <c r="E12" s="0" t="s">
        <v>7</v>
      </c>
      <c r="F12" s="0" t="s">
        <v>8</v>
      </c>
      <c r="G12" s="0" t="s">
        <v>9</v>
      </c>
      <c r="H12" s="0" t="s">
        <v>10</v>
      </c>
    </row>
    <row r="13" customFormat="false" ht="15" hidden="false" customHeight="false" outlineLevel="0" collapsed="false">
      <c r="A13" s="0" t="s">
        <v>25</v>
      </c>
      <c r="B13" s="0" t="s">
        <v>12</v>
      </c>
      <c r="C13" s="0" t="s">
        <v>26</v>
      </c>
      <c r="D13" s="0" t="s">
        <v>14</v>
      </c>
      <c r="E13" s="0" t="s">
        <v>27</v>
      </c>
      <c r="F13" s="0" t="n">
        <v>1</v>
      </c>
      <c r="G13" s="0" t="n">
        <v>14.25</v>
      </c>
      <c r="H13" s="0" t="n">
        <f aca="false">F13*G13</f>
        <v>14.25</v>
      </c>
    </row>
    <row r="14" customFormat="false" ht="15" hidden="false" customHeight="false" outlineLevel="0" collapsed="false">
      <c r="A14" s="0" t="s">
        <v>28</v>
      </c>
      <c r="B14" s="0" t="s">
        <v>12</v>
      </c>
      <c r="C14" s="0" t="s">
        <v>29</v>
      </c>
      <c r="D14" s="0" t="s">
        <v>14</v>
      </c>
      <c r="E14" s="0" t="s">
        <v>30</v>
      </c>
      <c r="F14" s="0" t="n">
        <v>1</v>
      </c>
      <c r="G14" s="0" t="n">
        <v>15.63</v>
      </c>
      <c r="H14" s="0" t="n">
        <f aca="false">F14*G14</f>
        <v>15.63</v>
      </c>
    </row>
    <row r="15" customFormat="false" ht="15" hidden="false" customHeight="false" outlineLevel="0" collapsed="false">
      <c r="A15" s="0" t="s">
        <v>23</v>
      </c>
      <c r="H15" s="0" t="n">
        <f aca="false">SUM(H13:H14)</f>
        <v>29.88</v>
      </c>
    </row>
    <row r="17" customFormat="false" ht="15" hidden="false" customHeight="false" outlineLevel="0" collapsed="false">
      <c r="A17" s="0" t="s">
        <v>31</v>
      </c>
    </row>
    <row r="18" customFormat="false" ht="15" hidden="false" customHeight="false" outlineLevel="0" collapsed="false">
      <c r="A18" s="0" t="s">
        <v>3</v>
      </c>
      <c r="B18" s="0" t="s">
        <v>4</v>
      </c>
      <c r="C18" s="0" t="s">
        <v>5</v>
      </c>
      <c r="D18" s="0" t="s">
        <v>6</v>
      </c>
      <c r="E18" s="0" t="s">
        <v>7</v>
      </c>
      <c r="F18" s="0" t="s">
        <v>8</v>
      </c>
      <c r="G18" s="0" t="s">
        <v>9</v>
      </c>
      <c r="H18" s="0" t="s">
        <v>10</v>
      </c>
    </row>
    <row r="19" customFormat="false" ht="15" hidden="false" customHeight="false" outlineLevel="0" collapsed="false">
      <c r="A19" s="0" t="s">
        <v>32</v>
      </c>
      <c r="B19" s="0" t="s">
        <v>12</v>
      </c>
      <c r="C19" s="0" t="s">
        <v>33</v>
      </c>
      <c r="D19" s="0" t="s">
        <v>14</v>
      </c>
      <c r="E19" s="0" t="s">
        <v>34</v>
      </c>
      <c r="F19" s="0" t="n">
        <v>1</v>
      </c>
      <c r="G19" s="0" t="n">
        <v>39.99</v>
      </c>
      <c r="H19" s="0" t="n">
        <f aca="false">F19*G19</f>
        <v>39.99</v>
      </c>
    </row>
    <row r="20" customFormat="false" ht="15" hidden="false" customHeight="false" outlineLevel="0" collapsed="false">
      <c r="A20" s="0" t="s">
        <v>35</v>
      </c>
      <c r="B20" s="0" t="s">
        <v>12</v>
      </c>
      <c r="C20" s="0" t="s">
        <v>36</v>
      </c>
      <c r="D20" s="0" t="s">
        <v>14</v>
      </c>
      <c r="E20" s="0" t="s">
        <v>37</v>
      </c>
      <c r="F20" s="0" t="n">
        <v>2</v>
      </c>
      <c r="G20" s="0" t="n">
        <v>6.99</v>
      </c>
      <c r="H20" s="0" t="n">
        <f aca="false">F20*G20</f>
        <v>13.98</v>
      </c>
    </row>
    <row r="21" customFormat="false" ht="15" hidden="false" customHeight="false" outlineLevel="0" collapsed="false">
      <c r="A21" s="0" t="s">
        <v>38</v>
      </c>
      <c r="B21" s="0" t="s">
        <v>12</v>
      </c>
      <c r="C21" s="0" t="s">
        <v>39</v>
      </c>
      <c r="D21" s="0" t="s">
        <v>14</v>
      </c>
      <c r="E21" s="0" t="s">
        <v>37</v>
      </c>
      <c r="F21" s="0" t="n">
        <v>2</v>
      </c>
      <c r="G21" s="0" t="n">
        <v>12.99</v>
      </c>
      <c r="H21" s="0" t="n">
        <f aca="false">F21*G21</f>
        <v>25.98</v>
      </c>
    </row>
    <row r="22" customFormat="false" ht="15" hidden="false" customHeight="false" outlineLevel="0" collapsed="false">
      <c r="A22" s="0" t="s">
        <v>40</v>
      </c>
      <c r="B22" s="0" t="s">
        <v>12</v>
      </c>
      <c r="C22" s="0" t="s">
        <v>41</v>
      </c>
      <c r="D22" s="0" t="s">
        <v>14</v>
      </c>
      <c r="E22" s="0" t="s">
        <v>37</v>
      </c>
      <c r="F22" s="0" t="n">
        <v>1</v>
      </c>
      <c r="G22" s="0" t="n">
        <v>6.99</v>
      </c>
      <c r="H22" s="0" t="n">
        <f aca="false">F22*G22</f>
        <v>6.99</v>
      </c>
    </row>
    <row r="23" customFormat="false" ht="15" hidden="false" customHeight="false" outlineLevel="0" collapsed="false">
      <c r="A23" s="0" t="s">
        <v>23</v>
      </c>
      <c r="H23" s="0" t="n">
        <f aca="false">SUM(H19:H22)</f>
        <v>86.94</v>
      </c>
    </row>
    <row r="25" customFormat="false" ht="15" hidden="false" customHeight="false" outlineLevel="0" collapsed="false">
      <c r="A25" s="0" t="s">
        <v>42</v>
      </c>
    </row>
    <row r="26" customFormat="false" ht="15" hidden="false" customHeight="false" outlineLevel="0" collapsed="false">
      <c r="A26" s="0" t="s">
        <v>3</v>
      </c>
      <c r="B26" s="0" t="s">
        <v>4</v>
      </c>
      <c r="C26" s="0" t="s">
        <v>5</v>
      </c>
      <c r="D26" s="0" t="s">
        <v>6</v>
      </c>
      <c r="E26" s="0" t="s">
        <v>7</v>
      </c>
      <c r="F26" s="0" t="s">
        <v>8</v>
      </c>
      <c r="G26" s="0" t="s">
        <v>9</v>
      </c>
      <c r="H26" s="0" t="s">
        <v>10</v>
      </c>
    </row>
    <row r="27" customFormat="false" ht="15" hidden="false" customHeight="false" outlineLevel="0" collapsed="false">
      <c r="A27" s="0" t="s">
        <v>43</v>
      </c>
      <c r="B27" s="0" t="s">
        <v>44</v>
      </c>
      <c r="C27" s="0" t="s">
        <v>45</v>
      </c>
      <c r="D27" s="0" t="s">
        <v>14</v>
      </c>
      <c r="E27" s="0" t="s">
        <v>46</v>
      </c>
      <c r="F27" s="0" t="n">
        <v>1</v>
      </c>
      <c r="G27" s="0" t="n">
        <v>9.23</v>
      </c>
      <c r="H27" s="0" t="n">
        <f aca="false">F27*G27</f>
        <v>9.23</v>
      </c>
    </row>
    <row r="28" customFormat="false" ht="15" hidden="false" customHeight="false" outlineLevel="0" collapsed="false">
      <c r="A28" s="0" t="s">
        <v>47</v>
      </c>
      <c r="B28" s="0" t="s">
        <v>44</v>
      </c>
      <c r="C28" s="0" t="s">
        <v>48</v>
      </c>
      <c r="D28" s="0" t="s">
        <v>14</v>
      </c>
      <c r="F28" s="0" t="n">
        <v>1</v>
      </c>
      <c r="G28" s="0" t="n">
        <v>9</v>
      </c>
      <c r="H28" s="0" t="n">
        <f aca="false">F28*G28</f>
        <v>9</v>
      </c>
    </row>
    <row r="29" customFormat="false" ht="15" hidden="false" customHeight="false" outlineLevel="0" collapsed="false">
      <c r="A29" s="0" t="s">
        <v>49</v>
      </c>
      <c r="B29" s="0" t="s">
        <v>44</v>
      </c>
      <c r="C29" s="0" t="s">
        <v>50</v>
      </c>
      <c r="D29" s="0" t="s">
        <v>14</v>
      </c>
      <c r="E29" s="0" t="s">
        <v>51</v>
      </c>
      <c r="F29" s="0" t="n">
        <v>1</v>
      </c>
      <c r="G29" s="0" t="n">
        <v>5.4</v>
      </c>
      <c r="H29" s="0" t="n">
        <f aca="false">F29*G29</f>
        <v>5.4</v>
      </c>
    </row>
    <row r="30" customFormat="false" ht="15" hidden="false" customHeight="false" outlineLevel="0" collapsed="false">
      <c r="A30" s="0" t="s">
        <v>23</v>
      </c>
      <c r="H30" s="0" t="n">
        <f aca="false">SUM(H27:H29)</f>
        <v>23.63</v>
      </c>
    </row>
    <row r="32" customFormat="false" ht="15" hidden="false" customHeight="false" outlineLevel="0" collapsed="false">
      <c r="A32" s="0" t="s">
        <v>52</v>
      </c>
    </row>
    <row r="33" customFormat="false" ht="15" hidden="false" customHeight="false" outlineLevel="0" collapsed="false">
      <c r="A33" s="0" t="s">
        <v>3</v>
      </c>
      <c r="B33" s="0" t="s">
        <v>4</v>
      </c>
      <c r="C33" s="0" t="s">
        <v>5</v>
      </c>
      <c r="D33" s="0" t="s">
        <v>6</v>
      </c>
      <c r="E33" s="0" t="s">
        <v>7</v>
      </c>
      <c r="F33" s="0" t="s">
        <v>8</v>
      </c>
      <c r="G33" s="0" t="s">
        <v>9</v>
      </c>
      <c r="H33" s="0" t="s">
        <v>10</v>
      </c>
    </row>
    <row r="34" customFormat="false" ht="15" hidden="false" customHeight="false" outlineLevel="0" collapsed="false">
      <c r="A34" s="0" t="s">
        <v>53</v>
      </c>
      <c r="B34" s="0" t="s">
        <v>44</v>
      </c>
      <c r="C34" s="0" t="s">
        <v>54</v>
      </c>
      <c r="D34" s="0" t="s">
        <v>14</v>
      </c>
      <c r="E34" s="0" t="s">
        <v>55</v>
      </c>
      <c r="F34" s="0" t="n">
        <v>5</v>
      </c>
      <c r="G34" s="0" t="n">
        <v>33.99</v>
      </c>
      <c r="H34" s="0" t="n">
        <f aca="false">F34*G34</f>
        <v>169.95</v>
      </c>
    </row>
    <row r="35" customFormat="false" ht="15" hidden="false" customHeight="false" outlineLevel="0" collapsed="false">
      <c r="A35" s="0" t="s">
        <v>56</v>
      </c>
      <c r="B35" s="0" t="s">
        <v>44</v>
      </c>
      <c r="C35" s="0" t="s">
        <v>57</v>
      </c>
      <c r="D35" s="0" t="s">
        <v>14</v>
      </c>
      <c r="E35" s="0" t="s">
        <v>58</v>
      </c>
      <c r="F35" s="0" t="n">
        <v>1</v>
      </c>
      <c r="G35" s="0" t="n">
        <v>39.6</v>
      </c>
      <c r="H35" s="0" t="n">
        <f aca="false">F35*G35</f>
        <v>39.6</v>
      </c>
    </row>
    <row r="36" customFormat="false" ht="15" hidden="false" customHeight="false" outlineLevel="0" collapsed="false">
      <c r="A36" s="0" t="s">
        <v>23</v>
      </c>
      <c r="H36" s="0" t="n">
        <f aca="false">SUM(H34:H35)</f>
        <v>209.55</v>
      </c>
    </row>
    <row r="38" customFormat="false" ht="15" hidden="false" customHeight="false" outlineLevel="0" collapsed="false">
      <c r="A38" s="0" t="s">
        <v>59</v>
      </c>
    </row>
    <row r="39" customFormat="false" ht="15" hidden="false" customHeight="false" outlineLevel="0" collapsed="false">
      <c r="A39" s="0" t="s">
        <v>3</v>
      </c>
      <c r="B39" s="0" t="s">
        <v>4</v>
      </c>
      <c r="C39" s="0" t="s">
        <v>5</v>
      </c>
      <c r="D39" s="0" t="s">
        <v>6</v>
      </c>
      <c r="E39" s="0" t="s">
        <v>7</v>
      </c>
      <c r="F39" s="0" t="s">
        <v>8</v>
      </c>
      <c r="G39" s="0" t="s">
        <v>9</v>
      </c>
      <c r="H39" s="0" t="s">
        <v>10</v>
      </c>
    </row>
    <row r="40" customFormat="false" ht="15" hidden="false" customHeight="false" outlineLevel="0" collapsed="false">
      <c r="A40" s="0" t="s">
        <v>60</v>
      </c>
      <c r="B40" s="0" t="s">
        <v>12</v>
      </c>
      <c r="C40" s="0" t="s">
        <v>61</v>
      </c>
      <c r="D40" s="0" t="s">
        <v>14</v>
      </c>
      <c r="E40" s="0" t="s">
        <v>62</v>
      </c>
      <c r="F40" s="0" t="n">
        <v>1</v>
      </c>
      <c r="G40" s="0" t="n">
        <v>49.99</v>
      </c>
      <c r="H40" s="0" t="n">
        <f aca="false">F40*G40</f>
        <v>49.99</v>
      </c>
    </row>
    <row r="41" customFormat="false" ht="15" hidden="false" customHeight="false" outlineLevel="0" collapsed="false">
      <c r="A41" s="0" t="s">
        <v>63</v>
      </c>
      <c r="B41" s="0" t="s">
        <v>64</v>
      </c>
      <c r="C41" s="0" t="s">
        <v>65</v>
      </c>
      <c r="D41" s="0" t="s">
        <v>14</v>
      </c>
      <c r="E41" s="0" t="s">
        <v>66</v>
      </c>
      <c r="F41" s="0" t="n">
        <v>1</v>
      </c>
      <c r="G41" s="0" t="n">
        <v>49.99</v>
      </c>
      <c r="H41" s="0" t="n">
        <f aca="false">F41*G41</f>
        <v>49.99</v>
      </c>
    </row>
    <row r="42" customFormat="false" ht="15" hidden="false" customHeight="false" outlineLevel="0" collapsed="false">
      <c r="A42" s="0" t="s">
        <v>67</v>
      </c>
      <c r="B42" s="0" t="s">
        <v>12</v>
      </c>
      <c r="C42" s="0" t="s">
        <v>68</v>
      </c>
      <c r="D42" s="0" t="s">
        <v>14</v>
      </c>
      <c r="E42" s="0" t="s">
        <v>62</v>
      </c>
      <c r="F42" s="0" t="n">
        <v>1</v>
      </c>
      <c r="G42" s="0" t="n">
        <v>16.99</v>
      </c>
      <c r="H42" s="0" t="n">
        <f aca="false">F42*G42</f>
        <v>16.99</v>
      </c>
    </row>
    <row r="43" customFormat="false" ht="15" hidden="false" customHeight="false" outlineLevel="0" collapsed="false">
      <c r="A43" s="0" t="s">
        <v>69</v>
      </c>
      <c r="B43" s="0" t="s">
        <v>12</v>
      </c>
      <c r="C43" s="0" t="s">
        <v>70</v>
      </c>
      <c r="D43" s="0" t="s">
        <v>14</v>
      </c>
      <c r="E43" s="0" t="s">
        <v>62</v>
      </c>
      <c r="F43" s="0" t="n">
        <v>1</v>
      </c>
      <c r="G43" s="0" t="n">
        <v>28.79</v>
      </c>
      <c r="H43" s="0" t="n">
        <f aca="false">F43*G43</f>
        <v>28.79</v>
      </c>
    </row>
    <row r="44" customFormat="false" ht="15" hidden="false" customHeight="false" outlineLevel="0" collapsed="false">
      <c r="A44" s="0" t="s">
        <v>71</v>
      </c>
      <c r="B44" s="0" t="s">
        <v>12</v>
      </c>
      <c r="C44" s="0" t="s">
        <v>72</v>
      </c>
      <c r="D44" s="0" t="s">
        <v>14</v>
      </c>
      <c r="E44" s="0" t="s">
        <v>73</v>
      </c>
      <c r="F44" s="0" t="n">
        <v>1</v>
      </c>
      <c r="G44" s="0" t="n">
        <v>17.99</v>
      </c>
      <c r="H44" s="0" t="n">
        <f aca="false">F44*G44</f>
        <v>17.99</v>
      </c>
    </row>
    <row r="45" customFormat="false" ht="15" hidden="false" customHeight="false" outlineLevel="0" collapsed="false">
      <c r="A45" s="0" t="s">
        <v>23</v>
      </c>
      <c r="H45" s="0" t="n">
        <f aca="false">SUM(H40:H44)</f>
        <v>163.75</v>
      </c>
    </row>
    <row r="47" customFormat="false" ht="15" hidden="false" customHeight="false" outlineLevel="0" collapsed="false">
      <c r="A47" s="0" t="s">
        <v>74</v>
      </c>
    </row>
    <row r="48" customFormat="false" ht="15" hidden="false" customHeight="false" outlineLevel="0" collapsed="false">
      <c r="A48" s="0" t="s">
        <v>3</v>
      </c>
      <c r="B48" s="0" t="s">
        <v>4</v>
      </c>
      <c r="C48" s="0" t="s">
        <v>5</v>
      </c>
      <c r="D48" s="0" t="s">
        <v>6</v>
      </c>
      <c r="E48" s="0" t="s">
        <v>7</v>
      </c>
      <c r="F48" s="0" t="s">
        <v>8</v>
      </c>
      <c r="G48" s="0" t="s">
        <v>9</v>
      </c>
      <c r="H48" s="0" t="s">
        <v>10</v>
      </c>
    </row>
    <row r="49" customFormat="false" ht="15" hidden="false" customHeight="false" outlineLevel="0" collapsed="false">
      <c r="A49" s="0" t="s">
        <v>75</v>
      </c>
      <c r="B49" s="0" t="s">
        <v>17</v>
      </c>
      <c r="C49" s="0" t="s">
        <v>76</v>
      </c>
      <c r="D49" s="0" t="s">
        <v>14</v>
      </c>
      <c r="E49" s="0" t="s">
        <v>77</v>
      </c>
      <c r="F49" s="0" t="n">
        <v>1</v>
      </c>
      <c r="G49" s="0" t="n">
        <v>1.5</v>
      </c>
      <c r="H49" s="0" t="n">
        <f aca="false">F49*G49</f>
        <v>1.5</v>
      </c>
    </row>
    <row r="50" customFormat="false" ht="15" hidden="false" customHeight="false" outlineLevel="0" collapsed="false">
      <c r="A50" s="0" t="s">
        <v>23</v>
      </c>
      <c r="H50" s="0" t="n">
        <f aca="false">SUM(H49)</f>
        <v>1.5</v>
      </c>
    </row>
    <row r="52" customFormat="false" ht="15" hidden="false" customHeight="false" outlineLevel="0" collapsed="false">
      <c r="A52" s="0" t="s">
        <v>78</v>
      </c>
    </row>
    <row r="53" customFormat="false" ht="15" hidden="false" customHeight="false" outlineLevel="0" collapsed="false">
      <c r="A53" s="0" t="s">
        <v>3</v>
      </c>
      <c r="B53" s="0" t="s">
        <v>4</v>
      </c>
      <c r="C53" s="0" t="s">
        <v>5</v>
      </c>
      <c r="D53" s="0" t="s">
        <v>6</v>
      </c>
      <c r="E53" s="0" t="s">
        <v>7</v>
      </c>
      <c r="F53" s="0" t="s">
        <v>8</v>
      </c>
      <c r="G53" s="0" t="s">
        <v>9</v>
      </c>
      <c r="H53" s="0" t="s">
        <v>10</v>
      </c>
    </row>
    <row r="54" customFormat="false" ht="15" hidden="false" customHeight="false" outlineLevel="0" collapsed="false">
      <c r="A54" s="0" t="s">
        <v>79</v>
      </c>
      <c r="B54" s="0" t="s">
        <v>17</v>
      </c>
      <c r="C54" s="0" t="s">
        <v>80</v>
      </c>
      <c r="D54" s="0" t="s">
        <v>14</v>
      </c>
      <c r="E54" s="0" t="s">
        <v>81</v>
      </c>
      <c r="F54" s="0" t="n">
        <v>2</v>
      </c>
      <c r="G54" s="0" t="n">
        <v>3.95</v>
      </c>
      <c r="H54" s="0" t="n">
        <f aca="false">F54*G54</f>
        <v>7.9</v>
      </c>
    </row>
    <row r="55" customFormat="false" ht="15" hidden="false" customHeight="false" outlineLevel="0" collapsed="false">
      <c r="A55" s="0" t="s">
        <v>82</v>
      </c>
      <c r="B55" s="0" t="s">
        <v>17</v>
      </c>
      <c r="C55" s="0" t="s">
        <v>83</v>
      </c>
      <c r="D55" s="0" t="s">
        <v>14</v>
      </c>
      <c r="E55" s="0" t="s">
        <v>81</v>
      </c>
      <c r="F55" s="0" t="n">
        <v>2</v>
      </c>
      <c r="G55" s="0" t="n">
        <v>3.95</v>
      </c>
      <c r="H55" s="0" t="n">
        <f aca="false">F55*G55</f>
        <v>7.9</v>
      </c>
    </row>
    <row r="56" customFormat="false" ht="15" hidden="false" customHeight="false" outlineLevel="0" collapsed="false">
      <c r="A56" s="0" t="s">
        <v>84</v>
      </c>
      <c r="B56" s="0" t="s">
        <v>12</v>
      </c>
      <c r="C56" s="0" t="s">
        <v>85</v>
      </c>
      <c r="D56" s="0" t="s">
        <v>14</v>
      </c>
      <c r="E56" s="0" t="s">
        <v>86</v>
      </c>
      <c r="F56" s="0" t="n">
        <v>3</v>
      </c>
      <c r="G56" s="0" t="n">
        <v>6.79</v>
      </c>
      <c r="H56" s="0" t="n">
        <f aca="false">F56*G56</f>
        <v>20.37</v>
      </c>
    </row>
    <row r="57" customFormat="false" ht="15" hidden="false" customHeight="false" outlineLevel="0" collapsed="false">
      <c r="A57" s="0" t="s">
        <v>87</v>
      </c>
      <c r="B57" s="0" t="s">
        <v>12</v>
      </c>
      <c r="C57" s="0" t="s">
        <v>88</v>
      </c>
      <c r="D57" s="0" t="s">
        <v>14</v>
      </c>
      <c r="E57" s="0" t="s">
        <v>37</v>
      </c>
      <c r="F57" s="0" t="n">
        <v>1</v>
      </c>
      <c r="G57" s="0" t="n">
        <v>9.99</v>
      </c>
      <c r="H57" s="0" t="n">
        <f aca="false">F57*G57</f>
        <v>9.99</v>
      </c>
    </row>
    <row r="58" customFormat="false" ht="15" hidden="false" customHeight="false" outlineLevel="0" collapsed="false">
      <c r="A58" s="0" t="s">
        <v>23</v>
      </c>
      <c r="H58" s="0" t="n">
        <f aca="false">SUM(H54:H57)</f>
        <v>46.16</v>
      </c>
    </row>
    <row r="60" customFormat="false" ht="15" hidden="false" customHeight="false" outlineLevel="0" collapsed="false">
      <c r="A60" s="0" t="s">
        <v>89</v>
      </c>
    </row>
    <row r="61" customFormat="false" ht="15" hidden="false" customHeight="false" outlineLevel="0" collapsed="false">
      <c r="A61" s="0" t="s">
        <v>3</v>
      </c>
      <c r="B61" s="0" t="s">
        <v>4</v>
      </c>
      <c r="C61" s="0" t="s">
        <v>5</v>
      </c>
      <c r="D61" s="0" t="s">
        <v>6</v>
      </c>
      <c r="E61" s="0" t="s">
        <v>7</v>
      </c>
      <c r="F61" s="0" t="s">
        <v>8</v>
      </c>
      <c r="G61" s="0" t="s">
        <v>9</v>
      </c>
      <c r="H61" s="0" t="s">
        <v>10</v>
      </c>
    </row>
    <row r="62" customFormat="false" ht="15" hidden="false" customHeight="false" outlineLevel="0" collapsed="false">
      <c r="A62" s="0" t="s">
        <v>90</v>
      </c>
      <c r="B62" s="0" t="s">
        <v>91</v>
      </c>
      <c r="C62" s="0" t="s">
        <v>92</v>
      </c>
      <c r="D62" s="0" t="s">
        <v>14</v>
      </c>
      <c r="E62" s="0" t="s">
        <v>93</v>
      </c>
      <c r="F62" s="0" t="n">
        <v>3</v>
      </c>
      <c r="G62" s="0" t="n">
        <v>65</v>
      </c>
      <c r="H62" s="0" t="n">
        <f aca="false">F62*G62</f>
        <v>195</v>
      </c>
    </row>
    <row r="63" customFormat="false" ht="15" hidden="false" customHeight="false" outlineLevel="0" collapsed="false">
      <c r="A63" s="0" t="s">
        <v>94</v>
      </c>
      <c r="B63" s="0" t="s">
        <v>12</v>
      </c>
      <c r="C63" s="0" t="s">
        <v>95</v>
      </c>
      <c r="D63" s="0" t="s">
        <v>14</v>
      </c>
      <c r="E63" s="0" t="s">
        <v>37</v>
      </c>
      <c r="F63" s="0" t="n">
        <v>1</v>
      </c>
      <c r="G63" s="0" t="n">
        <v>11.69</v>
      </c>
      <c r="H63" s="0" t="n">
        <f aca="false">F63*G63</f>
        <v>11.69</v>
      </c>
    </row>
    <row r="64" customFormat="false" ht="15" hidden="false" customHeight="false" outlineLevel="0" collapsed="false">
      <c r="A64" s="0" t="s">
        <v>96</v>
      </c>
      <c r="B64" s="0" t="s">
        <v>12</v>
      </c>
      <c r="C64" s="0" t="s">
        <v>97</v>
      </c>
      <c r="D64" s="0" t="s">
        <v>14</v>
      </c>
      <c r="E64" s="0" t="s">
        <v>37</v>
      </c>
      <c r="F64" s="0" t="n">
        <v>1</v>
      </c>
      <c r="G64" s="0" t="n">
        <v>18.59</v>
      </c>
      <c r="H64" s="0" t="n">
        <f aca="false">F64*G64</f>
        <v>18.59</v>
      </c>
    </row>
    <row r="65" customFormat="false" ht="15" hidden="false" customHeight="false" outlineLevel="0" collapsed="false">
      <c r="A65" s="0" t="s">
        <v>98</v>
      </c>
      <c r="B65" s="0" t="s">
        <v>17</v>
      </c>
      <c r="C65" s="0" t="s">
        <v>99</v>
      </c>
      <c r="D65" s="0" t="s">
        <v>14</v>
      </c>
      <c r="E65" s="0" t="s">
        <v>100</v>
      </c>
      <c r="F65" s="0" t="n">
        <v>2</v>
      </c>
      <c r="G65" s="0" t="n">
        <v>1.5</v>
      </c>
      <c r="H65" s="0" t="n">
        <f aca="false">F65*G65</f>
        <v>3</v>
      </c>
    </row>
    <row r="66" customFormat="false" ht="15" hidden="false" customHeight="false" outlineLevel="0" collapsed="false">
      <c r="A66" s="0" t="s">
        <v>101</v>
      </c>
      <c r="B66" s="0" t="s">
        <v>17</v>
      </c>
      <c r="C66" s="0" t="s">
        <v>102</v>
      </c>
      <c r="D66" s="0" t="s">
        <v>14</v>
      </c>
      <c r="E66" s="0" t="s">
        <v>103</v>
      </c>
      <c r="F66" s="0" t="n">
        <v>2</v>
      </c>
      <c r="G66" s="0" t="n">
        <v>3.95</v>
      </c>
      <c r="H66" s="0" t="n">
        <f aca="false">F66*G66</f>
        <v>7.9</v>
      </c>
    </row>
    <row r="67" customFormat="false" ht="15" hidden="false" customHeight="false" outlineLevel="0" collapsed="false">
      <c r="A67" s="0" t="s">
        <v>104</v>
      </c>
      <c r="B67" s="0" t="s">
        <v>17</v>
      </c>
      <c r="C67" s="0" t="s">
        <v>105</v>
      </c>
      <c r="D67" s="0" t="s">
        <v>14</v>
      </c>
      <c r="E67" s="0" t="s">
        <v>106</v>
      </c>
      <c r="F67" s="0" t="n">
        <v>2</v>
      </c>
      <c r="G67" s="0" t="n">
        <v>3.95</v>
      </c>
      <c r="H67" s="0" t="n">
        <f aca="false">F67*G67</f>
        <v>7.9</v>
      </c>
    </row>
    <row r="68" customFormat="false" ht="15" hidden="false" customHeight="false" outlineLevel="0" collapsed="false">
      <c r="A68" s="0" t="s">
        <v>107</v>
      </c>
      <c r="B68" s="0" t="s">
        <v>44</v>
      </c>
      <c r="C68" s="0" t="s">
        <v>108</v>
      </c>
      <c r="D68" s="0" t="s">
        <v>14</v>
      </c>
      <c r="E68" s="0" t="s">
        <v>37</v>
      </c>
      <c r="F68" s="0" t="n">
        <v>1</v>
      </c>
      <c r="G68" s="0" t="n">
        <v>8.35</v>
      </c>
      <c r="H68" s="0" t="n">
        <f aca="false">F68*G68</f>
        <v>8.35</v>
      </c>
    </row>
    <row r="69" customFormat="false" ht="15" hidden="false" customHeight="false" outlineLevel="0" collapsed="false">
      <c r="A69" s="0" t="s">
        <v>109</v>
      </c>
      <c r="B69" s="0" t="s">
        <v>44</v>
      </c>
      <c r="C69" s="0" t="s">
        <v>110</v>
      </c>
      <c r="D69" s="0" t="s">
        <v>14</v>
      </c>
      <c r="E69" s="0" t="s">
        <v>111</v>
      </c>
      <c r="F69" s="0" t="n">
        <v>4</v>
      </c>
      <c r="G69" s="0" t="n">
        <v>9</v>
      </c>
      <c r="H69" s="0" t="n">
        <f aca="false">F69*G69</f>
        <v>36</v>
      </c>
    </row>
    <row r="70" customFormat="false" ht="15" hidden="false" customHeight="false" outlineLevel="0" collapsed="false">
      <c r="A70" s="0" t="s">
        <v>23</v>
      </c>
      <c r="H70" s="0" t="n">
        <f aca="false">SUM(H62:H69)</f>
        <v>288.43</v>
      </c>
    </row>
    <row r="72" customFormat="false" ht="15" hidden="false" customHeight="false" outlineLevel="0" collapsed="false">
      <c r="A72" s="0" t="s">
        <v>112</v>
      </c>
    </row>
    <row r="73" customFormat="false" ht="15" hidden="false" customHeight="false" outlineLevel="0" collapsed="false">
      <c r="A73" s="0" t="s">
        <v>3</v>
      </c>
      <c r="B73" s="0" t="s">
        <v>4</v>
      </c>
      <c r="C73" s="0" t="s">
        <v>5</v>
      </c>
      <c r="D73" s="0" t="s">
        <v>6</v>
      </c>
      <c r="E73" s="0" t="s">
        <v>7</v>
      </c>
      <c r="F73" s="0" t="s">
        <v>8</v>
      </c>
      <c r="G73" s="0" t="s">
        <v>9</v>
      </c>
      <c r="H73" s="0" t="s">
        <v>10</v>
      </c>
    </row>
    <row r="74" customFormat="false" ht="15" hidden="false" customHeight="false" outlineLevel="0" collapsed="false">
      <c r="A74" s="0" t="s">
        <v>113</v>
      </c>
      <c r="B74" s="0" t="s">
        <v>12</v>
      </c>
      <c r="C74" s="0" t="s">
        <v>114</v>
      </c>
      <c r="D74" s="0" t="s">
        <v>14</v>
      </c>
      <c r="E74" s="0" t="s">
        <v>115</v>
      </c>
      <c r="F74" s="0" t="n">
        <v>1</v>
      </c>
      <c r="G74" s="0" t="n">
        <v>8.99</v>
      </c>
      <c r="H74" s="0" t="n">
        <f aca="false">F74*G74</f>
        <v>8.99</v>
      </c>
    </row>
    <row r="75" customFormat="false" ht="15" hidden="false" customHeight="false" outlineLevel="0" collapsed="false">
      <c r="A75" s="0" t="s">
        <v>116</v>
      </c>
      <c r="B75" s="0" t="s">
        <v>12</v>
      </c>
      <c r="C75" s="0" t="s">
        <v>117</v>
      </c>
      <c r="D75" s="0" t="s">
        <v>14</v>
      </c>
      <c r="E75" s="0" t="s">
        <v>118</v>
      </c>
      <c r="F75" s="0" t="n">
        <v>1</v>
      </c>
      <c r="G75" s="0" t="n">
        <v>75</v>
      </c>
      <c r="H75" s="0" t="n">
        <f aca="false">F75*G75</f>
        <v>75</v>
      </c>
    </row>
    <row r="76" customFormat="false" ht="15" hidden="false" customHeight="false" outlineLevel="0" collapsed="false">
      <c r="A76" s="0" t="s">
        <v>119</v>
      </c>
      <c r="B76" s="0" t="s">
        <v>12</v>
      </c>
      <c r="C76" s="0" t="s">
        <v>120</v>
      </c>
      <c r="D76" s="0" t="s">
        <v>14</v>
      </c>
      <c r="E76" s="0" t="s">
        <v>121</v>
      </c>
      <c r="F76" s="0" t="n">
        <v>1</v>
      </c>
      <c r="G76" s="0" t="n">
        <v>39</v>
      </c>
      <c r="H76" s="0" t="n">
        <f aca="false">F76*G76</f>
        <v>39</v>
      </c>
    </row>
    <row r="77" customFormat="false" ht="15" hidden="false" customHeight="false" outlineLevel="0" collapsed="false">
      <c r="A77" s="0" t="s">
        <v>122</v>
      </c>
      <c r="B77" s="0" t="s">
        <v>12</v>
      </c>
      <c r="C77" s="0" t="s">
        <v>123</v>
      </c>
      <c r="D77" s="0" t="s">
        <v>14</v>
      </c>
      <c r="E77" s="0" t="s">
        <v>121</v>
      </c>
      <c r="F77" s="0" t="n">
        <v>1</v>
      </c>
      <c r="G77" s="0" t="n">
        <v>25</v>
      </c>
      <c r="H77" s="0" t="n">
        <f aca="false">F77*G77</f>
        <v>25</v>
      </c>
    </row>
    <row r="78" customFormat="false" ht="15" hidden="false" customHeight="false" outlineLevel="0" collapsed="false">
      <c r="A78" s="0" t="s">
        <v>124</v>
      </c>
      <c r="B78" s="0" t="s">
        <v>12</v>
      </c>
      <c r="C78" s="0" t="s">
        <v>125</v>
      </c>
      <c r="D78" s="0" t="s">
        <v>14</v>
      </c>
      <c r="E78" s="0" t="s">
        <v>121</v>
      </c>
      <c r="F78" s="0" t="n">
        <v>1</v>
      </c>
      <c r="G78" s="0" t="n">
        <v>35.99</v>
      </c>
      <c r="H78" s="0" t="n">
        <f aca="false">F78*G78</f>
        <v>35.99</v>
      </c>
    </row>
    <row r="79" customFormat="false" ht="15" hidden="false" customHeight="false" outlineLevel="0" collapsed="false">
      <c r="A79" s="0" t="s">
        <v>126</v>
      </c>
      <c r="B79" s="0" t="s">
        <v>12</v>
      </c>
      <c r="C79" s="0" t="s">
        <v>127</v>
      </c>
      <c r="D79" s="0" t="s">
        <v>14</v>
      </c>
      <c r="E79" s="0" t="s">
        <v>121</v>
      </c>
      <c r="F79" s="0" t="n">
        <v>1</v>
      </c>
      <c r="G79" s="0" t="n">
        <v>7.99</v>
      </c>
      <c r="H79" s="0" t="n">
        <f aca="false">F79*G79</f>
        <v>7.99</v>
      </c>
    </row>
    <row r="80" customFormat="false" ht="15" hidden="false" customHeight="false" outlineLevel="0" collapsed="false">
      <c r="A80" s="0" t="s">
        <v>128</v>
      </c>
      <c r="B80" s="0" t="s">
        <v>12</v>
      </c>
      <c r="C80" s="0" t="s">
        <v>129</v>
      </c>
      <c r="D80" s="0" t="s">
        <v>14</v>
      </c>
      <c r="E80" s="0" t="s">
        <v>121</v>
      </c>
      <c r="F80" s="0" t="n">
        <v>1</v>
      </c>
      <c r="G80" s="0" t="n">
        <v>15.99</v>
      </c>
      <c r="H80" s="0" t="n">
        <f aca="false">F80*G80</f>
        <v>15.99</v>
      </c>
    </row>
    <row r="81" customFormat="false" ht="15" hidden="false" customHeight="false" outlineLevel="0" collapsed="false">
      <c r="A81" s="0" t="s">
        <v>130</v>
      </c>
      <c r="B81" s="0" t="s">
        <v>12</v>
      </c>
      <c r="C81" s="0" t="s">
        <v>131</v>
      </c>
      <c r="D81" s="0" t="s">
        <v>14</v>
      </c>
      <c r="E81" s="0" t="s">
        <v>132</v>
      </c>
      <c r="F81" s="0" t="n">
        <v>1</v>
      </c>
      <c r="G81" s="0" t="n">
        <v>9.99</v>
      </c>
      <c r="H81" s="0" t="n">
        <f aca="false">F81*G81</f>
        <v>9.99</v>
      </c>
    </row>
    <row r="82" customFormat="false" ht="15" hidden="false" customHeight="false" outlineLevel="0" collapsed="false">
      <c r="A82" s="0" t="s">
        <v>23</v>
      </c>
      <c r="H82" s="0" t="n">
        <f aca="false">SUM(H74:H81)</f>
        <v>217.95</v>
      </c>
    </row>
    <row r="84" customFormat="false" ht="15" hidden="false" customHeight="false" outlineLevel="0" collapsed="false">
      <c r="A84" s="0" t="s">
        <v>133</v>
      </c>
      <c r="H84" s="0" t="n">
        <f aca="false">H9+H15+H23+H30+H36+H45+H50+H58+H70+H82</f>
        <v>1181.59</v>
      </c>
    </row>
    <row r="85" customFormat="false" ht="15" hidden="false" customHeight="false" outlineLevel="0" collapsed="false">
      <c r="A85" s="0" t="s">
        <v>134</v>
      </c>
      <c r="H85" s="0" t="n">
        <f aca="false">-39.6</f>
        <v>-39.6</v>
      </c>
    </row>
    <row r="86" customFormat="false" ht="15" hidden="false" customHeight="false" outlineLevel="0" collapsed="false">
      <c r="A86" s="0" t="s">
        <v>135</v>
      </c>
      <c r="H86" s="0" t="n">
        <f aca="false">H84+H85</f>
        <v>1141.99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136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6</v>
      </c>
      <c r="E3" s="0" t="s">
        <v>7</v>
      </c>
      <c r="F3" s="0" t="s">
        <v>8</v>
      </c>
      <c r="G3" s="0" t="s">
        <v>137</v>
      </c>
      <c r="H3" s="0" t="s">
        <v>10</v>
      </c>
    </row>
    <row r="4" customFormat="false" ht="15" hidden="false" customHeight="false" outlineLevel="0" collapsed="false">
      <c r="A4" s="0" t="s">
        <v>138</v>
      </c>
      <c r="B4" s="0" t="s">
        <v>64</v>
      </c>
      <c r="C4" s="0" t="s">
        <v>139</v>
      </c>
      <c r="D4" s="0" t="s">
        <v>6</v>
      </c>
      <c r="F4" s="0" t="n">
        <v>2</v>
      </c>
      <c r="G4" s="0" t="n">
        <v>12.795</v>
      </c>
      <c r="H4" s="0" t="n">
        <f aca="false">F4*G4</f>
        <v>25.59</v>
      </c>
    </row>
    <row r="5" customFormat="false" ht="15" hidden="false" customHeight="false" outlineLevel="0" collapsed="false">
      <c r="A5" s="0" t="s">
        <v>140</v>
      </c>
      <c r="B5" s="0" t="s">
        <v>64</v>
      </c>
      <c r="C5" s="0" t="s">
        <v>141</v>
      </c>
      <c r="D5" s="0" t="s">
        <v>6</v>
      </c>
      <c r="F5" s="0" t="n">
        <v>1</v>
      </c>
      <c r="G5" s="0" t="n">
        <v>19.99</v>
      </c>
      <c r="H5" s="0" t="n">
        <f aca="false">F5*G5</f>
        <v>19.99</v>
      </c>
    </row>
    <row r="6" customFormat="false" ht="15" hidden="false" customHeight="false" outlineLevel="0" collapsed="false">
      <c r="A6" s="0" t="s">
        <v>142</v>
      </c>
      <c r="B6" s="0" t="s">
        <v>64</v>
      </c>
      <c r="C6" s="0" t="s">
        <v>141</v>
      </c>
      <c r="D6" s="0" t="s">
        <v>6</v>
      </c>
      <c r="F6" s="0" t="n">
        <v>1</v>
      </c>
      <c r="G6" s="0" t="n">
        <v>19.99</v>
      </c>
      <c r="H6" s="0" t="n">
        <f aca="false">F6*G6</f>
        <v>19.99</v>
      </c>
    </row>
    <row r="7" customFormat="false" ht="15" hidden="false" customHeight="false" outlineLevel="0" collapsed="false">
      <c r="A7" s="0" t="s">
        <v>143</v>
      </c>
      <c r="B7" s="0" t="s">
        <v>12</v>
      </c>
      <c r="C7" s="0" t="s">
        <v>144</v>
      </c>
      <c r="D7" s="0" t="s">
        <v>6</v>
      </c>
      <c r="E7" s="0" t="s">
        <v>145</v>
      </c>
      <c r="F7" s="0" t="n">
        <v>3</v>
      </c>
      <c r="G7" s="0" t="n">
        <v>9</v>
      </c>
      <c r="H7" s="0" t="n">
        <f aca="false">F7*G7</f>
        <v>27</v>
      </c>
    </row>
    <row r="8" customFormat="false" ht="15" hidden="false" customHeight="false" outlineLevel="0" collapsed="false">
      <c r="A8" s="0" t="s">
        <v>146</v>
      </c>
      <c r="B8" s="0" t="s">
        <v>12</v>
      </c>
      <c r="C8" s="0" t="s">
        <v>147</v>
      </c>
      <c r="D8" s="0" t="s">
        <v>6</v>
      </c>
      <c r="E8" s="0" t="s">
        <v>148</v>
      </c>
      <c r="F8" s="0" t="n">
        <v>1</v>
      </c>
      <c r="G8" s="0" t="n">
        <v>25</v>
      </c>
      <c r="H8" s="0" t="n">
        <f aca="false">F8*G8</f>
        <v>25</v>
      </c>
    </row>
    <row r="9" customFormat="false" ht="15" hidden="false" customHeight="false" outlineLevel="0" collapsed="false">
      <c r="A9" s="0" t="s">
        <v>149</v>
      </c>
      <c r="B9" s="0" t="s">
        <v>12</v>
      </c>
      <c r="C9" s="0" t="s">
        <v>150</v>
      </c>
      <c r="D9" s="0" t="s">
        <v>6</v>
      </c>
      <c r="F9" s="0" t="n">
        <v>1</v>
      </c>
      <c r="G9" s="0" t="n">
        <v>7</v>
      </c>
      <c r="H9" s="0" t="n">
        <f aca="false">F9*G9</f>
        <v>7</v>
      </c>
    </row>
    <row r="10" customFormat="false" ht="15" hidden="false" customHeight="false" outlineLevel="0" collapsed="false">
      <c r="A10" s="0" t="s">
        <v>151</v>
      </c>
      <c r="B10" s="0" t="s">
        <v>12</v>
      </c>
      <c r="C10" s="0" t="s">
        <v>152</v>
      </c>
      <c r="D10" s="0" t="s">
        <v>6</v>
      </c>
      <c r="F10" s="0" t="n">
        <v>1</v>
      </c>
      <c r="G10" s="0" t="n">
        <v>6</v>
      </c>
      <c r="H10" s="0" t="n">
        <f aca="false">F10*G10</f>
        <v>6</v>
      </c>
    </row>
    <row r="11" customFormat="false" ht="15" hidden="false" customHeight="false" outlineLevel="0" collapsed="false">
      <c r="A11" s="0" t="s">
        <v>153</v>
      </c>
      <c r="B11" s="0" t="s">
        <v>12</v>
      </c>
      <c r="C11" s="0" t="s">
        <v>154</v>
      </c>
      <c r="D11" s="0" t="s">
        <v>6</v>
      </c>
      <c r="E11" s="0" t="s">
        <v>155</v>
      </c>
      <c r="F11" s="0" t="n">
        <v>1</v>
      </c>
      <c r="G11" s="0" t="n">
        <v>16</v>
      </c>
      <c r="H11" s="0" t="n">
        <f aca="false">F11*G11</f>
        <v>16</v>
      </c>
    </row>
    <row r="12" customFormat="false" ht="15" hidden="false" customHeight="false" outlineLevel="0" collapsed="false">
      <c r="A12" s="0" t="s">
        <v>156</v>
      </c>
      <c r="B12" s="0" t="s">
        <v>12</v>
      </c>
      <c r="C12" s="0" t="s">
        <v>157</v>
      </c>
      <c r="D12" s="0" t="s">
        <v>6</v>
      </c>
      <c r="F12" s="0" t="n">
        <v>1</v>
      </c>
      <c r="G12" s="0" t="n">
        <v>12</v>
      </c>
      <c r="H12" s="0" t="n">
        <f aca="false">F12*G12</f>
        <v>12</v>
      </c>
    </row>
    <row r="13" customFormat="false" ht="15" hidden="false" customHeight="false" outlineLevel="0" collapsed="false">
      <c r="A13" s="0" t="s">
        <v>158</v>
      </c>
      <c r="B13" s="0" t="s">
        <v>12</v>
      </c>
      <c r="C13" s="0" t="s">
        <v>159</v>
      </c>
      <c r="D13" s="0" t="s">
        <v>6</v>
      </c>
      <c r="F13" s="0" t="n">
        <v>1</v>
      </c>
      <c r="G13" s="0" t="n">
        <v>15</v>
      </c>
      <c r="H13" s="0" t="n">
        <f aca="false">F13*G13</f>
        <v>15</v>
      </c>
    </row>
    <row r="14" customFormat="false" ht="15" hidden="false" customHeight="false" outlineLevel="0" collapsed="false">
      <c r="A14" s="0" t="s">
        <v>160</v>
      </c>
      <c r="B14" s="0" t="s">
        <v>12</v>
      </c>
      <c r="C14" s="0" t="s">
        <v>161</v>
      </c>
      <c r="D14" s="0" t="s">
        <v>6</v>
      </c>
      <c r="E14" s="0" t="s">
        <v>162</v>
      </c>
      <c r="F14" s="0" t="n">
        <v>1</v>
      </c>
      <c r="G14" s="0" t="n">
        <v>21</v>
      </c>
      <c r="H14" s="0" t="n">
        <f aca="false">F14*G14</f>
        <v>21</v>
      </c>
    </row>
    <row r="15" customFormat="false" ht="15" hidden="false" customHeight="false" outlineLevel="0" collapsed="false">
      <c r="A15" s="0" t="s">
        <v>163</v>
      </c>
      <c r="B15" s="0" t="s">
        <v>12</v>
      </c>
      <c r="C15" s="0" t="s">
        <v>164</v>
      </c>
      <c r="D15" s="0" t="s">
        <v>6</v>
      </c>
      <c r="F15" s="0" t="n">
        <v>1</v>
      </c>
      <c r="G15" s="0" t="n">
        <v>11</v>
      </c>
      <c r="H15" s="0" t="n">
        <f aca="false">F15*G15</f>
        <v>11</v>
      </c>
    </row>
    <row r="16" customFormat="false" ht="15" hidden="false" customHeight="false" outlineLevel="0" collapsed="false">
      <c r="A16" s="0" t="s">
        <v>165</v>
      </c>
      <c r="B16" s="0" t="s">
        <v>12</v>
      </c>
      <c r="C16" s="0" t="s">
        <v>166</v>
      </c>
      <c r="D16" s="0" t="s">
        <v>6</v>
      </c>
      <c r="E16" s="0" t="s">
        <v>167</v>
      </c>
      <c r="F16" s="0" t="n">
        <v>1</v>
      </c>
      <c r="G16" s="0" t="n">
        <v>10</v>
      </c>
      <c r="H16" s="0" t="n">
        <f aca="false">F16*G16</f>
        <v>10</v>
      </c>
    </row>
    <row r="17" customFormat="false" ht="15" hidden="false" customHeight="false" outlineLevel="0" collapsed="false">
      <c r="A17" s="0" t="s">
        <v>168</v>
      </c>
      <c r="B17" s="0" t="s">
        <v>12</v>
      </c>
      <c r="C17" s="0" t="s">
        <v>169</v>
      </c>
      <c r="D17" s="0" t="s">
        <v>6</v>
      </c>
      <c r="E17" s="0" t="s">
        <v>167</v>
      </c>
      <c r="F17" s="0" t="n">
        <v>2</v>
      </c>
      <c r="G17" s="0" t="n">
        <v>9</v>
      </c>
      <c r="H17" s="0" t="n">
        <f aca="false">F17*G17</f>
        <v>18</v>
      </c>
    </row>
    <row r="18" customFormat="false" ht="15" hidden="false" customHeight="false" outlineLevel="0" collapsed="false">
      <c r="A18" s="0" t="s">
        <v>170</v>
      </c>
      <c r="B18" s="0" t="s">
        <v>17</v>
      </c>
      <c r="C18" s="0" t="s">
        <v>171</v>
      </c>
      <c r="D18" s="0" t="s">
        <v>6</v>
      </c>
      <c r="E18" s="0" t="s">
        <v>167</v>
      </c>
      <c r="F18" s="0" t="n">
        <v>2</v>
      </c>
      <c r="G18" s="0" t="n">
        <v>22.5</v>
      </c>
      <c r="H18" s="0" t="n">
        <f aca="false">F18*G18</f>
        <v>45</v>
      </c>
    </row>
    <row r="19" customFormat="false" ht="15" hidden="false" customHeight="false" outlineLevel="0" collapsed="false">
      <c r="A19" s="0" t="s">
        <v>172</v>
      </c>
      <c r="B19" s="0" t="s">
        <v>173</v>
      </c>
      <c r="C19" s="0" t="s">
        <v>174</v>
      </c>
      <c r="D19" s="0" t="s">
        <v>6</v>
      </c>
      <c r="E19" s="0" t="s">
        <v>167</v>
      </c>
      <c r="F19" s="0" t="n">
        <v>1</v>
      </c>
      <c r="G19" s="0" t="n">
        <v>40</v>
      </c>
      <c r="H19" s="0" t="n">
        <f aca="false">F19*G19</f>
        <v>40</v>
      </c>
    </row>
    <row r="20" customFormat="false" ht="15" hidden="false" customHeight="false" outlineLevel="0" collapsed="false">
      <c r="A20" s="0" t="s">
        <v>175</v>
      </c>
      <c r="B20" s="0" t="s">
        <v>176</v>
      </c>
      <c r="C20" s="0" t="s">
        <v>177</v>
      </c>
      <c r="D20" s="0" t="s">
        <v>6</v>
      </c>
      <c r="E20" s="0" t="s">
        <v>178</v>
      </c>
      <c r="F20" s="0" t="n">
        <v>4</v>
      </c>
      <c r="G20" s="0" t="n">
        <v>1.6</v>
      </c>
      <c r="H20" s="0" t="n">
        <f aca="false">F20*G20</f>
        <v>6.4</v>
      </c>
    </row>
    <row r="21" customFormat="false" ht="15" hidden="false" customHeight="false" outlineLevel="0" collapsed="false">
      <c r="A21" s="0" t="s">
        <v>179</v>
      </c>
      <c r="B21" s="0" t="s">
        <v>12</v>
      </c>
      <c r="C21" s="0" t="s">
        <v>180</v>
      </c>
      <c r="D21" s="0" t="s">
        <v>6</v>
      </c>
      <c r="E21" s="0" t="s">
        <v>181</v>
      </c>
      <c r="F21" s="0" t="n">
        <v>3</v>
      </c>
      <c r="G21" s="0" t="n">
        <v>11.6</v>
      </c>
      <c r="H21" s="0" t="n">
        <f aca="false">F21*G21</f>
        <v>34.8</v>
      </c>
    </row>
    <row r="22" customFormat="false" ht="15" hidden="false" customHeight="false" outlineLevel="0" collapsed="false">
      <c r="A22" s="0" t="s">
        <v>182</v>
      </c>
      <c r="B22" s="0" t="s">
        <v>12</v>
      </c>
      <c r="C22" s="0" t="s">
        <v>183</v>
      </c>
      <c r="D22" s="0" t="s">
        <v>6</v>
      </c>
      <c r="E22" s="0" t="s">
        <v>184</v>
      </c>
      <c r="F22" s="0" t="n">
        <v>1</v>
      </c>
      <c r="G22" s="0" t="n">
        <v>9</v>
      </c>
      <c r="H22" s="0" t="n">
        <f aca="false">F22*G22</f>
        <v>9</v>
      </c>
    </row>
    <row r="23" customFormat="false" ht="15" hidden="false" customHeight="false" outlineLevel="0" collapsed="false">
      <c r="A23" s="0" t="s">
        <v>185</v>
      </c>
      <c r="B23" s="0" t="s">
        <v>17</v>
      </c>
      <c r="C23" s="0" t="s">
        <v>186</v>
      </c>
      <c r="D23" s="0" t="s">
        <v>6</v>
      </c>
      <c r="E23" s="0" t="s">
        <v>187</v>
      </c>
      <c r="F23" s="0" t="n">
        <v>1</v>
      </c>
      <c r="G23" s="0" t="n">
        <v>6</v>
      </c>
      <c r="H23" s="0" t="n">
        <f aca="false">F23*G23</f>
        <v>6</v>
      </c>
    </row>
    <row r="24" customFormat="false" ht="15" hidden="false" customHeight="false" outlineLevel="0" collapsed="false">
      <c r="A24" s="0" t="s">
        <v>188</v>
      </c>
      <c r="B24" s="0" t="s">
        <v>17</v>
      </c>
      <c r="C24" s="0" t="s">
        <v>189</v>
      </c>
      <c r="D24" s="0" t="s">
        <v>6</v>
      </c>
      <c r="E24" s="0" t="s">
        <v>190</v>
      </c>
      <c r="F24" s="0" t="n">
        <v>6</v>
      </c>
      <c r="G24" s="0" t="n">
        <v>15</v>
      </c>
      <c r="H24" s="0" t="n">
        <f aca="false">F24*G24</f>
        <v>90</v>
      </c>
    </row>
    <row r="25" customFormat="false" ht="15" hidden="false" customHeight="false" outlineLevel="0" collapsed="false">
      <c r="A25" s="0" t="s">
        <v>191</v>
      </c>
      <c r="B25" s="0" t="s">
        <v>17</v>
      </c>
      <c r="C25" s="0" t="s">
        <v>192</v>
      </c>
      <c r="D25" s="0" t="s">
        <v>6</v>
      </c>
      <c r="E25" s="0" t="s">
        <v>193</v>
      </c>
      <c r="F25" s="0" t="n">
        <v>1</v>
      </c>
      <c r="G25" s="0" t="n">
        <v>7</v>
      </c>
      <c r="H25" s="0" t="n">
        <f aca="false">F25*G25</f>
        <v>7</v>
      </c>
    </row>
    <row r="26" customFormat="false" ht="15" hidden="false" customHeight="false" outlineLevel="0" collapsed="false">
      <c r="A26" s="0" t="s">
        <v>194</v>
      </c>
      <c r="B26" s="0" t="s">
        <v>17</v>
      </c>
      <c r="C26" s="0" t="s">
        <v>195</v>
      </c>
      <c r="D26" s="0" t="s">
        <v>6</v>
      </c>
      <c r="E26" s="0" t="s">
        <v>193</v>
      </c>
      <c r="F26" s="0" t="n">
        <v>6</v>
      </c>
      <c r="G26" s="0" t="n">
        <v>1.25</v>
      </c>
      <c r="H26" s="0" t="n">
        <f aca="false">F26*G26</f>
        <v>7.5</v>
      </c>
    </row>
    <row r="27" customFormat="false" ht="15" hidden="false" customHeight="false" outlineLevel="0" collapsed="false">
      <c r="A27" s="0" t="s">
        <v>196</v>
      </c>
      <c r="H27" s="0" t="n">
        <f aca="false">SUM(H4:H26)</f>
        <v>479.27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197</v>
      </c>
    </row>
    <row r="3" customFormat="false" ht="15" hidden="false" customHeight="false" outlineLevel="0" collapsed="false">
      <c r="A3" s="0" t="s">
        <v>2</v>
      </c>
      <c r="B3" s="0" t="n">
        <f aca="false">BOM!H9</f>
        <v>113.8</v>
      </c>
    </row>
    <row r="4" customFormat="false" ht="15" hidden="false" customHeight="false" outlineLevel="0" collapsed="false">
      <c r="A4" s="0" t="s">
        <v>24</v>
      </c>
      <c r="B4" s="0" t="n">
        <f aca="false">BOM!H15</f>
        <v>29.88</v>
      </c>
    </row>
    <row r="5" customFormat="false" ht="15" hidden="false" customHeight="false" outlineLevel="0" collapsed="false">
      <c r="A5" s="0" t="s">
        <v>31</v>
      </c>
      <c r="B5" s="0" t="n">
        <f aca="false">BOM!H23</f>
        <v>86.94</v>
      </c>
    </row>
    <row r="6" customFormat="false" ht="15" hidden="false" customHeight="false" outlineLevel="0" collapsed="false">
      <c r="A6" s="0" t="s">
        <v>42</v>
      </c>
      <c r="B6" s="0" t="n">
        <f aca="false">BOM!H30</f>
        <v>23.63</v>
      </c>
    </row>
    <row r="7" customFormat="false" ht="15" hidden="false" customHeight="false" outlineLevel="0" collapsed="false">
      <c r="A7" s="0" t="s">
        <v>52</v>
      </c>
      <c r="B7" s="0" t="n">
        <f aca="false">BOM!H36</f>
        <v>209.55</v>
      </c>
    </row>
    <row r="8" customFormat="false" ht="15" hidden="false" customHeight="false" outlineLevel="0" collapsed="false">
      <c r="A8" s="0" t="s">
        <v>59</v>
      </c>
      <c r="B8" s="0" t="n">
        <f aca="false">BOM!H45</f>
        <v>163.75</v>
      </c>
    </row>
    <row r="9" customFormat="false" ht="15" hidden="false" customHeight="false" outlineLevel="0" collapsed="false">
      <c r="A9" s="0" t="s">
        <v>74</v>
      </c>
      <c r="B9" s="0" t="n">
        <f aca="false">BOM!H50</f>
        <v>1.5</v>
      </c>
    </row>
    <row r="10" customFormat="false" ht="15" hidden="false" customHeight="false" outlineLevel="0" collapsed="false">
      <c r="A10" s="0" t="s">
        <v>78</v>
      </c>
      <c r="B10" s="0" t="n">
        <f aca="false">BOM!H58</f>
        <v>46.16</v>
      </c>
    </row>
    <row r="11" customFormat="false" ht="15" hidden="false" customHeight="false" outlineLevel="0" collapsed="false">
      <c r="A11" s="0" t="s">
        <v>89</v>
      </c>
      <c r="B11" s="0" t="n">
        <f aca="false">BOM!H70</f>
        <v>288.43</v>
      </c>
    </row>
    <row r="12" customFormat="false" ht="15" hidden="false" customHeight="false" outlineLevel="0" collapsed="false">
      <c r="A12" s="0" t="s">
        <v>112</v>
      </c>
      <c r="B12" s="0" t="n">
        <f aca="false">BOM!H82</f>
        <v>217.95</v>
      </c>
    </row>
    <row r="14" customFormat="false" ht="15" hidden="false" customHeight="false" outlineLevel="0" collapsed="false">
      <c r="A14" s="0" t="s">
        <v>198</v>
      </c>
      <c r="B14" s="0" t="n">
        <f aca="false">BOM!H84</f>
        <v>1181.59</v>
      </c>
    </row>
    <row r="15" customFormat="false" ht="15" hidden="false" customHeight="false" outlineLevel="0" collapsed="false">
      <c r="A15" s="0" t="s">
        <v>199</v>
      </c>
      <c r="B15" s="0" t="n">
        <f aca="false">BOM!H85</f>
        <v>-39.6</v>
      </c>
    </row>
    <row r="16" customFormat="false" ht="15" hidden="false" customHeight="false" outlineLevel="0" collapsed="false">
      <c r="A16" s="0" t="s">
        <v>135</v>
      </c>
      <c r="B16" s="0" t="n">
        <f aca="false">BOM!H86</f>
        <v>1141.99</v>
      </c>
    </row>
    <row r="18" customFormat="false" ht="15" hidden="false" customHeight="false" outlineLevel="0" collapsed="false">
      <c r="A18" s="0" t="s">
        <v>200</v>
      </c>
      <c r="B18" s="0" t="n">
        <f aca="false">'Already Acquired'!H27</f>
        <v>479.27</v>
      </c>
    </row>
    <row r="19" customFormat="false" ht="15" hidden="false" customHeight="false" outlineLevel="0" collapsed="false">
      <c r="A19" s="0" t="s">
        <v>201</v>
      </c>
      <c r="B19" s="0" t="n">
        <f aca="false">B16+B18</f>
        <v>1621.26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2026-08-10T03:48:08Z</dcterms:created>
  <dc:creator>openpyxl</dc:creator>
  <dc:description/>
  <dc:language>en-US</dc:language>
  <cp:lastModifiedBy/>
  <dcterms:modified xsi:type="dcterms:W3CDTF">2026-08-10T03:48:20Z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