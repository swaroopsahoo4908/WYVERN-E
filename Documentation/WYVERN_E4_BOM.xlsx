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Already Acquired" sheetId="2" state="visible" r:id="rId2"/>
    <sheet xmlns:r="http://schemas.openxmlformats.org/officeDocument/2006/relationships" name="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\$#,##0.00;&quot;($&quot;#,##0.00\)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4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1F4E79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color rgb="FF0563C1"/>
      <sz val="10"/>
      <u val="single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1F4E79"/>
      <sz val="12"/>
    </font>
    <font>
      <name val="Arial"/>
      <charset val="1"/>
      <family val="0"/>
      <b val="1"/>
      <color rgb="FF1F4E79"/>
      <sz val="13"/>
    </font>
  </fonts>
  <fills count="7">
    <fill>
      <patternFill/>
    </fill>
    <fill>
      <patternFill patternType="gray125"/>
    </fill>
    <fill>
      <patternFill patternType="solid">
        <fgColor rgb="FFD9E2F3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EDEDED"/>
        <bgColor rgb="FFE2EFDA"/>
      </patternFill>
    </fill>
    <fill>
      <patternFill patternType="solid">
        <fgColor rgb="FFFCE4D6"/>
        <bgColor rgb="FFEDEDED"/>
      </patternFill>
    </fill>
    <fill>
      <patternFill patternType="solid">
        <fgColor rgb="FFE2EFDA"/>
        <b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left" vertical="bottom"/>
    </xf>
    <xf numFmtId="0" fontId="7" fillId="3" borderId="0" applyAlignment="1" pivotButton="0" quotePrefix="0" xfId="0">
      <alignment horizontal="center" vertical="bottom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right" vertical="center"/>
    </xf>
    <xf numFmtId="0" fontId="10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10" fillId="4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4" fontId="11" fillId="5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164" fontId="12" fillId="5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164" fontId="10" fillId="6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left" vertical="bottom"/>
    </xf>
    <xf numFmtId="0" fontId="7" fillId="3" borderId="0" applyAlignment="1" pivotButton="0" quotePrefix="0" xfId="0">
      <alignment horizontal="center" vertical="bottom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right" vertical="center"/>
    </xf>
    <xf numFmtId="0" fontId="10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10" fillId="4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4" fontId="11" fillId="5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164" fontId="12" fillId="5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164" fontId="10" fillId="6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gp/product/B0DP54FWX1" TargetMode="External" Id="rId1"/><Relationship Type="http://schemas.openxmlformats.org/officeDocument/2006/relationships/hyperlink" Target="https://www.adafruit.com/product/4754" TargetMode="External" Id="rId2"/><Relationship Type="http://schemas.openxmlformats.org/officeDocument/2006/relationships/hyperlink" Target="https://www.adafruit.com/product/3966" TargetMode="External" Id="rId3"/><Relationship Type="http://schemas.openxmlformats.org/officeDocument/2006/relationships/hyperlink" Target="https://www.amazon.com/gp/product/B0DDSH1W1N" TargetMode="External" Id="rId4"/><Relationship Type="http://schemas.openxmlformats.org/officeDocument/2006/relationships/hyperlink" Target="https://www.amazon.com/gp/product/B0FQBPZPKF" TargetMode="External" Id="rId5"/><Relationship Type="http://schemas.openxmlformats.org/officeDocument/2006/relationships/hyperlink" Target="https://www.amazon.com/dp/B0DGQ5HHMY" TargetMode="External" Id="rId6"/><Relationship Type="http://schemas.openxmlformats.org/officeDocument/2006/relationships/hyperlink" Target="https://www.amazon.com/dp/B008ZNWOYY" TargetMode="External" Id="rId7"/><Relationship Type="http://schemas.openxmlformats.org/officeDocument/2006/relationships/hyperlink" Target="https://www.amazon.com/dp/B08HN5DZ5Y" TargetMode="External" Id="rId8"/><Relationship Type="http://schemas.openxmlformats.org/officeDocument/2006/relationships/hyperlink" Target="https://www.amazon.com/s?k=1000uF+low+ESR+capacitor+SS34+schottky" TargetMode="External" Id="rId9"/><Relationship Type="http://schemas.openxmlformats.org/officeDocument/2006/relationships/hyperlink" Target="https://www.amazon.com/s?k=100k+62k+1%25+metal+film+resistor" TargetMode="External" Id="rId10"/><Relationship Type="http://schemas.openxmlformats.org/officeDocument/2006/relationships/hyperlink" Target="https://www.amazon.com/s?k=mini+SPDT+slide+switch" TargetMode="External" Id="rId11"/><Relationship Type="http://schemas.openxmlformats.org/officeDocument/2006/relationships/hyperlink" Target="https://www.amazon.com/gp/product/B0DN1G3P2M" TargetMode="External" Id="rId12"/><Relationship Type="http://schemas.openxmlformats.org/officeDocument/2006/relationships/hyperlink" Target="https://www.amazon.com/gp/product/B09DJY425B" TargetMode="External" Id="rId13"/><Relationship Type="http://schemas.openxmlformats.org/officeDocument/2006/relationships/hyperlink" Target="https://www.amazon.com/gp/product/B07Q2V3R61" TargetMode="External" Id="rId14"/><Relationship Type="http://schemas.openxmlformats.org/officeDocument/2006/relationships/hyperlink" Target="https://www.amazon.com/gp/product/B01LA9YDEI" TargetMode="External" Id="rId15"/><Relationship Type="http://schemas.openxmlformats.org/officeDocument/2006/relationships/hyperlink" Target="https://www.estesrockets.com/" TargetMode="External" Id="rId16"/><Relationship Type="http://schemas.openxmlformats.org/officeDocument/2006/relationships/hyperlink" Target="https://www.estesrockets.com/" TargetMode="External" Id="rId17"/><Relationship Type="http://schemas.openxmlformats.org/officeDocument/2006/relationships/hyperlink" Target="https://www.estesrockets.com/" TargetMode="External" Id="rId18"/><Relationship Type="http://schemas.openxmlformats.org/officeDocument/2006/relationships/hyperlink" Target="https://www.estesrockets.com/" TargetMode="External" Id="rId19"/><Relationship Type="http://schemas.openxmlformats.org/officeDocument/2006/relationships/hyperlink" Target="https://www.estesrockets.com/" TargetMode="External" Id="rId20"/><Relationship Type="http://schemas.openxmlformats.org/officeDocument/2006/relationships/hyperlink" Target="https://www.estesrockets.com/" TargetMode="External" Id="rId21"/><Relationship Type="http://schemas.openxmlformats.org/officeDocument/2006/relationships/hyperlink" Target="https://www.estesrockets.com/" TargetMode="External" Id="rId22"/><Relationship Type="http://schemas.openxmlformats.org/officeDocument/2006/relationships/hyperlink" Target="https://www.estesrockets.com/" TargetMode="External" Id="rId23"/><Relationship Type="http://schemas.openxmlformats.org/officeDocument/2006/relationships/hyperlink" Target="https://www.estesrockets.com/" TargetMode="External" Id="rId24"/><Relationship Type="http://schemas.openxmlformats.org/officeDocument/2006/relationships/hyperlink" Target="https://www.amazon.com/gp/product/B0FN8366S3" TargetMode="External" Id="rId25"/><Relationship Type="http://schemas.openxmlformats.org/officeDocument/2006/relationships/hyperlink" Target="https://us.store.bambulab.com/" TargetMode="External" Id="rId26"/><Relationship Type="http://schemas.openxmlformats.org/officeDocument/2006/relationships/hyperlink" Target="https://www.amazon.com/gp/product/B0C7BW71L8" TargetMode="External" Id="rId27"/><Relationship Type="http://schemas.openxmlformats.org/officeDocument/2006/relationships/hyperlink" Target="https://www.amazon.com/gp/product/B0FB2KNC8P" TargetMode="External" Id="rId28"/><Relationship Type="http://schemas.openxmlformats.org/officeDocument/2006/relationships/hyperlink" Target="https://www.amazon.com/gp/product/B0D5MG8JDR" TargetMode="External" Id="rId29"/><Relationship Type="http://schemas.openxmlformats.org/officeDocument/2006/relationships/hyperlink" Target="https://www.amazon.com/gp/product/B07QZYC5PG" TargetMode="External" Id="rId30"/><Relationship Type="http://schemas.openxmlformats.org/officeDocument/2006/relationships/hyperlink" Target="https://www.amazon.com/gp/product/B07G2BWBX8" TargetMode="External" Id="rId31"/><Relationship Type="http://schemas.openxmlformats.org/officeDocument/2006/relationships/hyperlink" Target="https://www.amazon.com/gp/product/B0CS6WXQPM" TargetMode="External" Id="rId32"/><Relationship Type="http://schemas.openxmlformats.org/officeDocument/2006/relationships/hyperlink" Target="https://www.adafruit.com/product/1609" TargetMode="External" Id="rId33"/><Relationship Type="http://schemas.openxmlformats.org/officeDocument/2006/relationships/hyperlink" Target="https://www.adafruit.com/product/1649" TargetMode="External" Id="rId34"/><Relationship Type="http://schemas.openxmlformats.org/officeDocument/2006/relationships/hyperlink" Target="https://www.adafruit.com/product/3057" TargetMode="External" Id="rId35"/><Relationship Type="http://schemas.openxmlformats.org/officeDocument/2006/relationships/hyperlink" Target="https://www.adafruit.com/product/3009" TargetMode="External" Id="rId36"/><Relationship Type="http://schemas.openxmlformats.org/officeDocument/2006/relationships/hyperlink" Target="https://www.adafruit.com/product/4209" TargetMode="External" Id="rId37"/><Relationship Type="http://schemas.openxmlformats.org/officeDocument/2006/relationships/hyperlink" Target="https://www.adafruit.com/product/757" TargetMode="External" Id="rId38"/><Relationship Type="http://schemas.openxmlformats.org/officeDocument/2006/relationships/hyperlink" Target="https://www.adafruit.com/product/2138" TargetMode="External" Id="rId39"/><Relationship Type="http://schemas.openxmlformats.org/officeDocument/2006/relationships/hyperlink" Target="https://www.adafruit.com/product/3878" TargetMode="External" Id="rId40"/><Relationship Type="http://schemas.openxmlformats.org/officeDocument/2006/relationships/hyperlink" Target="https://www.adafruit.com/product/4993" TargetMode="External" Id="rId41"/><Relationship Type="http://schemas.openxmlformats.org/officeDocument/2006/relationships/hyperlink" Target="https://www.adafruit.com/product/5719" TargetMode="External" Id="rId42"/><Relationship Type="http://schemas.openxmlformats.org/officeDocument/2006/relationships/hyperlink" Target="https://www.adafruit.com/product/4540" TargetMode="External" Id="rId43"/><Relationship Type="http://schemas.openxmlformats.org/officeDocument/2006/relationships/hyperlink" Target="https://www.adafruit.com/product/4543" TargetMode="External" Id="rId44"/><Relationship Type="http://schemas.openxmlformats.org/officeDocument/2006/relationships/hyperlink" Target="https://www.adafruit.com/product/5974" TargetMode="External" Id="rId45"/><Relationship Type="http://schemas.openxmlformats.org/officeDocument/2006/relationships/hyperlink" Target="https://www.adafruit.com/product/5302" TargetMode="External" Id="rId46"/><Relationship Type="http://schemas.openxmlformats.org/officeDocument/2006/relationships/hyperlink" Target="https://www.amazon.com/gp/product/B09K7G3477" TargetMode="External" Id="rId47"/><Relationship Type="http://schemas.openxmlformats.org/officeDocument/2006/relationships/hyperlink" Target="https://www.amazon.com/gp/product/B08R8RGCRS" TargetMode="External" Id="rId48"/></Relationships>
</file>

<file path=xl/worksheets/_rels/sheet2.xml.rels><Relationships xmlns="http://schemas.openxmlformats.org/package/2006/relationships"><Relationship Type="http://schemas.openxmlformats.org/officeDocument/2006/relationships/hyperlink" Target="https://us.store.bambulab.com/" TargetMode="External" Id="rId1"/><Relationship Type="http://schemas.openxmlformats.org/officeDocument/2006/relationships/hyperlink" Target="https://us.store.bambulab.com/" TargetMode="External" Id="rId2"/><Relationship Type="http://schemas.openxmlformats.org/officeDocument/2006/relationships/hyperlink" Target="https://us.store.bambulab.com/" TargetMode="External" Id="rId3"/><Relationship Type="http://schemas.openxmlformats.org/officeDocument/2006/relationships/hyperlink" Target="https://a.co/d/0bfzHWJc" TargetMode="External" Id="rId4"/><Relationship Type="http://schemas.openxmlformats.org/officeDocument/2006/relationships/hyperlink" Target="https://a.co/d/0iO2VtZm" TargetMode="External" Id="rId5"/><Relationship Type="http://schemas.openxmlformats.org/officeDocument/2006/relationships/hyperlink" Target="https://a.co/d/04DoxXD0" TargetMode="External" Id="rId6"/><Relationship Type="http://schemas.openxmlformats.org/officeDocument/2006/relationships/hyperlink" Target="https://a.co/d/07hl0ZV7" TargetMode="External" Id="rId7"/><Relationship Type="http://schemas.openxmlformats.org/officeDocument/2006/relationships/hyperlink" Target="https://a.co/d/08cUqjtX" TargetMode="External" Id="rId8"/><Relationship Type="http://schemas.openxmlformats.org/officeDocument/2006/relationships/hyperlink" Target="https://a.co/d/0bKZhm8B" TargetMode="External" Id="rId9"/><Relationship Type="http://schemas.openxmlformats.org/officeDocument/2006/relationships/hyperlink" Target="https://a.co/d/04GOSvEt" TargetMode="External" Id="rId10"/><Relationship Type="http://schemas.openxmlformats.org/officeDocument/2006/relationships/hyperlink" Target="https://a.co/d/0epyaW1H" TargetMode="External" Id="rId11"/><Relationship Type="http://schemas.openxmlformats.org/officeDocument/2006/relationships/hyperlink" Target="https://a.co/d/07GEvjM3" TargetMode="External" Id="rId12"/><Relationship Type="http://schemas.openxmlformats.org/officeDocument/2006/relationships/hyperlink" Target="https://www.amazon.com/s?k=uni+usb-c+microsd+card+reader" TargetMode="External" Id="rId13"/><Relationship Type="http://schemas.openxmlformats.org/officeDocument/2006/relationships/hyperlink" Target="https://www.amazon.com/s?k=32gb+microsd+card" TargetMode="External" Id="rId14"/><Relationship Type="http://schemas.openxmlformats.org/officeDocument/2006/relationships/hyperlink" Target="https://www.adafruit.com/product/5046" TargetMode="External" Id="rId15"/><Relationship Type="http://schemas.openxmlformats.org/officeDocument/2006/relationships/hyperlink" Target="https://www.digikey.ca/en/products/detail/mechatronics-fan-group/MS1238E12B1-6-FHR/9962916" TargetMode="External" Id="rId16"/><Relationship Type="http://schemas.openxmlformats.org/officeDocument/2006/relationships/hyperlink" Target="https://www.mcmaster.com/products/5862k415/" TargetMode="External" Id="rId17"/><Relationship Type="http://schemas.openxmlformats.org/officeDocument/2006/relationships/hyperlink" Target="https://a.co/d/05JVRnmt" TargetMode="External" Id="rId18"/><Relationship Type="http://schemas.openxmlformats.org/officeDocument/2006/relationships/hyperlink" Target="https://a.co/d/0iz49s21" TargetMode="External" Id="rId19"/><Relationship Type="http://schemas.openxmlformats.org/officeDocument/2006/relationships/hyperlink" Target="https://www.adafruit.com/product/6489" TargetMode="External" Id="rId20"/><Relationship Type="http://schemas.openxmlformats.org/officeDocument/2006/relationships/hyperlink" Target="https://www.adafruit.com/product/5396" TargetMode="External" Id="rId21"/><Relationship Type="http://schemas.openxmlformats.org/officeDocument/2006/relationships/hyperlink" Target="https://www.adafruit.com/product/5626" TargetMode="External" Id="rId22"/><Relationship Type="http://schemas.openxmlformats.org/officeDocument/2006/relationships/hyperlink" Target="https://www.adafruit.com/product/5384" TargetMode="External" Id="rId23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9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0" customWidth="1" style="32" min="1" max="1"/>
    <col width="13" customWidth="1" style="32" min="2" max="2"/>
    <col width="26" customWidth="1" style="32" min="3" max="3"/>
    <col width="8" customWidth="1" style="32" min="4" max="4"/>
    <col width="30" customWidth="1" style="32" min="5" max="5"/>
    <col width="6" customWidth="1" style="32" min="6" max="6"/>
    <col width="9" customWidth="1" style="32" min="7" max="7"/>
    <col width="10" customWidth="1" style="32" min="8" max="8"/>
  </cols>
  <sheetData>
    <row r="1" ht="17.35" customHeight="1" s="33">
      <c r="A1" s="34" t="inlineStr">
        <is>
          <t>WYVERN-E - Master Bill of Materials</t>
        </is>
      </c>
    </row>
    <row r="2" ht="15" customHeight="1" s="33">
      <c r="A2" s="35" t="inlineStr">
        <is>
          <t>Amazon to-buy reconciled to actual cart (28 items, $609.72) + kept 2S-LiPo battery; Adafruit = cart minus PCA9548/STEMMA-300 (in Acquired). Real /dp/ ASINs. 2026-07  |  2026-08: section 9 (Hofferth wind tunnel) STRUCK - wind tunnel removed from program scope.</t>
        </is>
      </c>
    </row>
    <row r="3"/>
    <row r="4" ht="15" customHeight="1" s="33">
      <c r="A4" s="36" t="inlineStr">
        <is>
          <t>1. Flight Computer &amp; Sensors</t>
        </is>
      </c>
      <c r="B4" s="37" t="n"/>
      <c r="C4" s="37" t="n"/>
      <c r="D4" s="37" t="n"/>
      <c r="E4" s="37" t="n"/>
      <c r="F4" s="37" t="n"/>
      <c r="G4" s="37" t="n"/>
      <c r="H4" s="37" t="n"/>
    </row>
    <row r="5" ht="15" customHeight="1" s="33">
      <c r="A5" s="38" t="inlineStr">
        <is>
          <t>Item</t>
        </is>
      </c>
      <c r="B5" s="38" t="inlineStr">
        <is>
          <t>Storefront</t>
        </is>
      </c>
      <c r="C5" s="38" t="inlineStr">
        <is>
          <t>Part # / Spec</t>
        </is>
      </c>
      <c r="D5" s="38" t="inlineStr">
        <is>
          <t>Link</t>
        </is>
      </c>
      <c r="E5" s="38" t="inlineStr">
        <is>
          <t>Note</t>
        </is>
      </c>
      <c r="F5" s="39" t="inlineStr">
        <is>
          <t>Qty</t>
        </is>
      </c>
      <c r="G5" s="39" t="inlineStr">
        <is>
          <t>Unit ($)</t>
        </is>
      </c>
      <c r="H5" s="39" t="inlineStr">
        <is>
          <t>Line ($)</t>
        </is>
      </c>
    </row>
    <row r="6" ht="23.85" customHeight="1" s="33">
      <c r="A6" s="40" t="inlineStr">
        <is>
          <t>Raspberry Pi Pico 2 W (pre-soldered header) - flight FC + spare</t>
        </is>
      </c>
      <c r="B6" s="41" t="inlineStr">
        <is>
          <t>Amazon</t>
        </is>
      </c>
      <c r="C6" s="41" t="inlineStr">
        <is>
          <t>B0DP54FWX1</t>
        </is>
      </c>
      <c r="D6" s="42" t="inlineStr">
        <is>
          <t>Buy</t>
        </is>
      </c>
      <c r="E6" s="43" t="inlineStr">
        <is>
          <t>in cart</t>
        </is>
      </c>
      <c r="F6" s="44" t="n">
        <v>2</v>
      </c>
      <c r="G6" s="45" t="n">
        <v>16.31</v>
      </c>
      <c r="H6" s="45">
        <f>F6*G6</f>
        <v/>
      </c>
    </row>
    <row r="7" ht="15" customHeight="1" s="33">
      <c r="A7" s="40" t="inlineStr">
        <is>
          <t>BNO085 9-DOF IMU (gimbal/body/recovery + spare, GRV)</t>
        </is>
      </c>
      <c r="B7" s="41" t="inlineStr">
        <is>
          <t>Adafruit</t>
        </is>
      </c>
      <c r="C7" s="41" t="inlineStr">
        <is>
          <t>PID 4754</t>
        </is>
      </c>
      <c r="D7" s="42" t="inlineStr">
        <is>
          <t>Buy</t>
        </is>
      </c>
      <c r="E7" s="43" t="inlineStr">
        <is>
          <t>in Adafruit cart</t>
        </is>
      </c>
      <c r="F7" s="44" t="n">
        <v>4</v>
      </c>
      <c r="G7" s="45" t="n">
        <v>24.95</v>
      </c>
      <c r="H7" s="45">
        <f>F7*G7</f>
        <v/>
      </c>
    </row>
    <row r="8" ht="15" customHeight="1" s="33">
      <c r="A8" s="40" t="inlineStr">
        <is>
          <t>BMP388 precision barometric pressure/altitude sensor</t>
        </is>
      </c>
      <c r="B8" s="41" t="inlineStr">
        <is>
          <t>Adafruit</t>
        </is>
      </c>
      <c r="C8" s="41" t="inlineStr">
        <is>
          <t>PID 3966</t>
        </is>
      </c>
      <c r="D8" s="42" t="inlineStr">
        <is>
          <t>Buy</t>
        </is>
      </c>
      <c r="E8" s="43" t="inlineStr">
        <is>
          <t>in Adafruit cart</t>
        </is>
      </c>
      <c r="F8" s="44" t="n">
        <v>2</v>
      </c>
      <c r="G8" s="45" t="n">
        <v>9.949999999999999</v>
      </c>
      <c r="H8" s="45">
        <f>F8*G8</f>
        <v/>
      </c>
    </row>
    <row r="9" ht="15" customHeight="1" s="33">
      <c r="A9" s="40" t="inlineStr">
        <is>
          <t>i3 4K Thumb Action Camera (64G card, self-contained ~36 g)</t>
        </is>
      </c>
      <c r="B9" s="41" t="inlineStr">
        <is>
          <t>Amazon</t>
        </is>
      </c>
      <c r="C9" s="41" t="inlineStr">
        <is>
          <t>B0DDSH1W1N</t>
        </is>
      </c>
      <c r="D9" s="42" t="inlineStr">
        <is>
          <t>Buy</t>
        </is>
      </c>
      <c r="E9" s="43" t="inlineStr">
        <is>
          <t>in cart (64G variant)</t>
        </is>
      </c>
      <c r="F9" s="44" t="n">
        <v>1</v>
      </c>
      <c r="G9" s="45" t="n">
        <v>73.98999999999999</v>
      </c>
      <c r="H9" s="45">
        <f>F9*G9</f>
        <v/>
      </c>
    </row>
    <row r="10" ht="15" customHeight="1" s="33">
      <c r="A10" s="40" t="inlineStr">
        <is>
          <t>Liaoan USB-A/USB-C 3.0 OTG adapter set (6 pc)</t>
        </is>
      </c>
      <c r="B10" s="41" t="inlineStr">
        <is>
          <t>Amazon</t>
        </is>
      </c>
      <c r="C10" s="41" t="inlineStr">
        <is>
          <t>B0FQBPZPKF</t>
        </is>
      </c>
      <c r="D10" s="42" t="inlineStr">
        <is>
          <t>Buy</t>
        </is>
      </c>
      <c r="E10" s="43" t="inlineStr">
        <is>
          <t>in cart; data/flash + microSD</t>
        </is>
      </c>
      <c r="F10" s="44" t="n">
        <v>1</v>
      </c>
      <c r="G10" s="45" t="n">
        <v>16.99</v>
      </c>
      <c r="H10" s="45">
        <f>F10*G10</f>
        <v/>
      </c>
    </row>
    <row r="11" ht="15" customHeight="1" s="33">
      <c r="A11" s="46" t="inlineStr">
        <is>
          <t>Subtotal</t>
        </is>
      </c>
      <c r="B11" s="47" t="n"/>
      <c r="C11" s="47" t="n"/>
      <c r="D11" s="47" t="n"/>
      <c r="E11" s="47" t="n"/>
      <c r="F11" s="47" t="n"/>
      <c r="G11" s="47" t="n"/>
      <c r="H11" s="48">
        <f>SUM(H6:H10)</f>
        <v/>
      </c>
    </row>
    <row r="12"/>
    <row r="13" ht="15" customHeight="1" s="33">
      <c r="A13" s="36" t="inlineStr">
        <is>
          <t>2. Power (2S LiPo + UBEC) - kept per design, not in this Amazon cart</t>
        </is>
      </c>
      <c r="B13" s="37" t="n"/>
      <c r="C13" s="37" t="n"/>
      <c r="D13" s="37" t="n"/>
      <c r="E13" s="37" t="n"/>
      <c r="F13" s="37" t="n"/>
      <c r="G13" s="37" t="n"/>
      <c r="H13" s="37" t="n"/>
    </row>
    <row r="14" ht="15" customHeight="1" s="33">
      <c r="A14" s="38" t="inlineStr">
        <is>
          <t>Item</t>
        </is>
      </c>
      <c r="B14" s="38" t="inlineStr">
        <is>
          <t>Storefront</t>
        </is>
      </c>
      <c r="C14" s="38" t="inlineStr">
        <is>
          <t>Part # / Spec</t>
        </is>
      </c>
      <c r="D14" s="38" t="inlineStr">
        <is>
          <t>Link</t>
        </is>
      </c>
      <c r="E14" s="38" t="inlineStr">
        <is>
          <t>Note</t>
        </is>
      </c>
      <c r="F14" s="39" t="inlineStr">
        <is>
          <t>Qty</t>
        </is>
      </c>
      <c r="G14" s="39" t="inlineStr">
        <is>
          <t>Unit ($)</t>
        </is>
      </c>
      <c r="H14" s="39" t="inlineStr">
        <is>
          <t>Line ($)</t>
        </is>
      </c>
    </row>
    <row r="15" ht="15" customHeight="1" s="33">
      <c r="A15" s="40" t="inlineStr">
        <is>
          <t>Zeee 2S 7.4 V 450 mAh LiPo (4-pk) - light flight pack</t>
        </is>
      </c>
      <c r="B15" s="41" t="inlineStr">
        <is>
          <t>Amazon</t>
        </is>
      </c>
      <c r="C15" s="41" t="inlineStr">
        <is>
          <t>Zeee B0DGQ5HHMY</t>
        </is>
      </c>
      <c r="D15" s="42" t="inlineStr">
        <is>
          <t>Buy</t>
        </is>
      </c>
      <c r="E15" s="43" t="inlineStr">
        <is>
          <t>~30 g; kept (not in this cart)</t>
        </is>
      </c>
      <c r="F15" s="44" t="n">
        <v>1</v>
      </c>
      <c r="G15" s="45" t="n">
        <v>15.99</v>
      </c>
      <c r="H15" s="45">
        <f>F15*G15</f>
        <v/>
      </c>
    </row>
    <row r="16" ht="23.85" customHeight="1" s="33">
      <c r="A16" s="40" t="inlineStr">
        <is>
          <t>Hobbywing 5 V/6 V 3 A UBEC / BEC (set 5 V -&gt; Pico + servos)</t>
        </is>
      </c>
      <c r="B16" s="41" t="inlineStr">
        <is>
          <t>Amazon</t>
        </is>
      </c>
      <c r="C16" s="41" t="inlineStr">
        <is>
          <t>Hobbywing B008ZNWOYY</t>
        </is>
      </c>
      <c r="D16" s="42" t="inlineStr">
        <is>
          <t>Buy</t>
        </is>
      </c>
      <c r="E16" s="43" t="inlineStr">
        <is>
          <t>kept (not in this cart)</t>
        </is>
      </c>
      <c r="F16" s="44" t="n">
        <v>1</v>
      </c>
      <c r="G16" s="45" t="n">
        <v>8.99</v>
      </c>
      <c r="H16" s="45">
        <f>F16*G16</f>
        <v/>
      </c>
    </row>
    <row r="17" ht="15" customHeight="1" s="33">
      <c r="A17" s="40" t="inlineStr">
        <is>
          <t>HTRC B3 2S-3S LiPo balance charger</t>
        </is>
      </c>
      <c r="B17" s="41" t="inlineStr">
        <is>
          <t>Amazon</t>
        </is>
      </c>
      <c r="C17" s="41" t="inlineStr">
        <is>
          <t>HTRC B08HN5DZ5Y</t>
        </is>
      </c>
      <c r="D17" s="42" t="inlineStr">
        <is>
          <t>Buy</t>
        </is>
      </c>
      <c r="E17" s="43" t="inlineStr">
        <is>
          <t>kept (not in this cart)</t>
        </is>
      </c>
      <c r="F17" s="44" t="n">
        <v>1</v>
      </c>
      <c r="G17" s="45" t="n">
        <v>13.99</v>
      </c>
      <c r="H17" s="45">
        <f>F17*G17</f>
        <v/>
      </c>
    </row>
    <row r="18" ht="23.85" customHeight="1" s="33">
      <c r="A18" s="40" t="inlineStr">
        <is>
          <t>Decoupling kit: 1000 uF + 100 uF low-ESR caps + SS34 Schottky</t>
        </is>
      </c>
      <c r="B18" s="41" t="inlineStr">
        <is>
          <t>Amazon</t>
        </is>
      </c>
      <c r="C18" s="41" t="inlineStr">
        <is>
          <t>low-ESR cap + SS34</t>
        </is>
      </c>
      <c r="D18" s="42" t="inlineStr">
        <is>
          <t>Buy</t>
        </is>
      </c>
      <c r="E18" s="43" t="inlineStr">
        <is>
          <t>no verified ASIN</t>
        </is>
      </c>
      <c r="F18" s="44" t="n">
        <v>1</v>
      </c>
      <c r="G18" s="45" t="n">
        <v>9.99</v>
      </c>
      <c r="H18" s="45">
        <f>F18*G18</f>
        <v/>
      </c>
    </row>
    <row r="19" ht="23.85" customHeight="1" s="33">
      <c r="A19" s="40" t="inlineStr">
        <is>
          <t>100 kohm / 62 kohm 1% resistor pack (GP26 battery ADC divider)</t>
        </is>
      </c>
      <c r="B19" s="41" t="inlineStr">
        <is>
          <t>Amazon</t>
        </is>
      </c>
      <c r="C19" s="41" t="inlineStr">
        <is>
          <t>1% metal-film</t>
        </is>
      </c>
      <c r="D19" s="42" t="inlineStr">
        <is>
          <t>Buy</t>
        </is>
      </c>
      <c r="E19" s="43" t="inlineStr">
        <is>
          <t>no verified ASIN</t>
        </is>
      </c>
      <c r="F19" s="44" t="n">
        <v>1</v>
      </c>
      <c r="G19" s="45" t="n">
        <v>6.99</v>
      </c>
      <c r="H19" s="45">
        <f>F19*G19</f>
        <v/>
      </c>
    </row>
    <row r="20" ht="15" customHeight="1" s="33">
      <c r="A20" s="40" t="inlineStr">
        <is>
          <t>Small slide arming switch (rocket)</t>
        </is>
      </c>
      <c r="B20" s="41" t="inlineStr">
        <is>
          <t>Amazon</t>
        </is>
      </c>
      <c r="C20" s="41" t="inlineStr">
        <is>
          <t>SPDT slide switch</t>
        </is>
      </c>
      <c r="D20" s="42" t="inlineStr">
        <is>
          <t>Buy</t>
        </is>
      </c>
      <c r="E20" s="43" t="n"/>
      <c r="F20" s="44" t="n">
        <v>2</v>
      </c>
      <c r="G20" s="45" t="n">
        <v>0.95</v>
      </c>
      <c r="H20" s="45">
        <f>F20*G20</f>
        <v/>
      </c>
    </row>
    <row r="21" ht="15" customHeight="1" s="33">
      <c r="A21" s="46" t="inlineStr">
        <is>
          <t>Subtotal</t>
        </is>
      </c>
      <c r="B21" s="47" t="n"/>
      <c r="C21" s="47" t="n"/>
      <c r="D21" s="47" t="n"/>
      <c r="E21" s="47" t="n"/>
      <c r="F21" s="47" t="n"/>
      <c r="G21" s="47" t="n"/>
      <c r="H21" s="48">
        <f>SUM(H15:H20)</f>
        <v/>
      </c>
    </row>
    <row r="22"/>
    <row r="23" ht="15" customHeight="1" s="33">
      <c r="A23" s="36" t="inlineStr">
        <is>
          <t>3. TVC - flight (servo, 2-axis gimbal)</t>
        </is>
      </c>
      <c r="B23" s="37" t="n"/>
      <c r="C23" s="37" t="n"/>
      <c r="D23" s="37" t="n"/>
      <c r="E23" s="37" t="n"/>
      <c r="F23" s="37" t="n"/>
      <c r="G23" s="37" t="n"/>
      <c r="H23" s="37" t="n"/>
    </row>
    <row r="24" ht="15" customHeight="1" s="33">
      <c r="A24" s="38" t="inlineStr">
        <is>
          <t>Item</t>
        </is>
      </c>
      <c r="B24" s="38" t="inlineStr">
        <is>
          <t>Storefront</t>
        </is>
      </c>
      <c r="C24" s="38" t="inlineStr">
        <is>
          <t>Part # / Spec</t>
        </is>
      </c>
      <c r="D24" s="38" t="inlineStr">
        <is>
          <t>Link</t>
        </is>
      </c>
      <c r="E24" s="38" t="inlineStr">
        <is>
          <t>Note</t>
        </is>
      </c>
      <c r="F24" s="39" t="inlineStr">
        <is>
          <t>Qty</t>
        </is>
      </c>
      <c r="G24" s="39" t="inlineStr">
        <is>
          <t>Unit ($)</t>
        </is>
      </c>
      <c r="H24" s="39" t="inlineStr">
        <is>
          <t>Line ($)</t>
        </is>
      </c>
    </row>
    <row r="25" ht="15" customHeight="1" s="33">
      <c r="A25" s="40" t="inlineStr">
        <is>
          <t>EMAX ES08MA II metal-gear analog micro servo (4-pack)</t>
        </is>
      </c>
      <c r="B25" s="41" t="inlineStr">
        <is>
          <t>Amazon</t>
        </is>
      </c>
      <c r="C25" s="41" t="inlineStr">
        <is>
          <t>B0DN1G3P2M</t>
        </is>
      </c>
      <c r="D25" s="42" t="inlineStr">
        <is>
          <t>Buy</t>
        </is>
      </c>
      <c r="E25" s="43" t="inlineStr">
        <is>
          <t>in cart, qty 2 (8 servos: flight + spares)</t>
        </is>
      </c>
      <c r="F25" s="44" t="n">
        <v>2</v>
      </c>
      <c r="G25" s="45" t="n">
        <v>37.99</v>
      </c>
      <c r="H25" s="45">
        <f>F25*G25</f>
        <v/>
      </c>
    </row>
    <row r="26" ht="15" customHeight="1" s="33">
      <c r="A26" s="40" t="inlineStr">
        <is>
          <t>XIKE MR105-2RS ball bearings (gimbal, 10-pk)</t>
        </is>
      </c>
      <c r="B26" s="41" t="inlineStr">
        <is>
          <t>Amazon</t>
        </is>
      </c>
      <c r="C26" s="41" t="inlineStr">
        <is>
          <t>B09DJY425B</t>
        </is>
      </c>
      <c r="D26" s="42" t="inlineStr">
        <is>
          <t>Buy</t>
        </is>
      </c>
      <c r="E26" s="43" t="inlineStr">
        <is>
          <t>in cart</t>
        </is>
      </c>
      <c r="F26" s="44" t="n">
        <v>2</v>
      </c>
      <c r="G26" s="45" t="n">
        <v>6.99</v>
      </c>
      <c r="H26" s="45">
        <f>F26*G26</f>
        <v/>
      </c>
    </row>
    <row r="27" ht="15" customHeight="1" s="33">
      <c r="A27" s="40" t="inlineStr">
        <is>
          <t>uxcell M2 15 mm linkage rod-end ball joint (4 PCS)</t>
        </is>
      </c>
      <c r="B27" s="41" t="inlineStr">
        <is>
          <t>Amazon</t>
        </is>
      </c>
      <c r="C27" s="41" t="inlineStr">
        <is>
          <t>B07Q2V3R61</t>
        </is>
      </c>
      <c r="D27" s="42" t="inlineStr">
        <is>
          <t>Buy</t>
        </is>
      </c>
      <c r="E27" s="43" t="inlineStr">
        <is>
          <t>in cart</t>
        </is>
      </c>
      <c r="F27" s="44" t="n">
        <v>2</v>
      </c>
      <c r="G27" s="45" t="n">
        <v>12.99</v>
      </c>
      <c r="H27" s="45">
        <f>F27*G27</f>
        <v/>
      </c>
    </row>
    <row r="28" ht="15" customHeight="1" s="33">
      <c r="A28" s="40" t="inlineStr">
        <is>
          <t>Honbay 300 mm servo extension leads (10-pk)</t>
        </is>
      </c>
      <c r="B28" s="41" t="inlineStr">
        <is>
          <t>Amazon</t>
        </is>
      </c>
      <c r="C28" s="41" t="inlineStr">
        <is>
          <t>B01LA9YDEI</t>
        </is>
      </c>
      <c r="D28" s="42" t="inlineStr">
        <is>
          <t>Buy</t>
        </is>
      </c>
      <c r="E28" s="43" t="inlineStr">
        <is>
          <t>in cart</t>
        </is>
      </c>
      <c r="F28" s="44" t="n">
        <v>1</v>
      </c>
      <c r="G28" s="45" t="n">
        <v>6.99</v>
      </c>
      <c r="H28" s="45">
        <f>F28*G28</f>
        <v/>
      </c>
    </row>
    <row r="29" ht="15" customHeight="1" s="33">
      <c r="A29" s="46" t="inlineStr">
        <is>
          <t>Subtotal</t>
        </is>
      </c>
      <c r="B29" s="47" t="n"/>
      <c r="C29" s="47" t="n"/>
      <c r="D29" s="47" t="n"/>
      <c r="E29" s="47" t="n"/>
      <c r="F29" s="47" t="n"/>
      <c r="G29" s="47" t="n"/>
      <c r="H29" s="48">
        <f>SUM(H25:H28)</f>
        <v/>
      </c>
    </row>
    <row r="30"/>
    <row r="31" ht="15" customHeight="1" s="33">
      <c r="A31" s="36" t="inlineStr">
        <is>
          <t>4. Recovery (motor ejection via bypass tube)</t>
        </is>
      </c>
      <c r="B31" s="37" t="n"/>
      <c r="C31" s="37" t="n"/>
      <c r="D31" s="37" t="n"/>
      <c r="E31" s="37" t="n"/>
      <c r="F31" s="37" t="n"/>
      <c r="G31" s="37" t="n"/>
      <c r="H31" s="37" t="n"/>
    </row>
    <row r="32" ht="15" customHeight="1" s="33">
      <c r="A32" s="38" t="inlineStr">
        <is>
          <t>Item</t>
        </is>
      </c>
      <c r="B32" s="38" t="inlineStr">
        <is>
          <t>Storefront</t>
        </is>
      </c>
      <c r="C32" s="38" t="inlineStr">
        <is>
          <t>Part # / Spec</t>
        </is>
      </c>
      <c r="D32" s="38" t="inlineStr">
        <is>
          <t>Link</t>
        </is>
      </c>
      <c r="E32" s="38" t="inlineStr">
        <is>
          <t>Note</t>
        </is>
      </c>
      <c r="F32" s="39" t="inlineStr">
        <is>
          <t>Qty</t>
        </is>
      </c>
      <c r="G32" s="39" t="inlineStr">
        <is>
          <t>Unit ($)</t>
        </is>
      </c>
      <c r="H32" s="39" t="inlineStr">
        <is>
          <t>Line ($)</t>
        </is>
      </c>
    </row>
    <row r="33" ht="15" customHeight="1" s="33">
      <c r="A33" s="40" t="inlineStr">
        <is>
          <t>Estes 24 in rip-stop nylon parachute (FLIGHT canopy - CHUTE_D=0.6096 m in all sims)</t>
        </is>
      </c>
      <c r="B33" s="41" t="inlineStr">
        <is>
          <t>Estes</t>
        </is>
      </c>
      <c r="C33" s="41" t="inlineStr">
        <is>
          <t>24in chute</t>
        </is>
      </c>
      <c r="D33" s="42" t="inlineStr">
        <is>
          <t>Buy</t>
        </is>
      </c>
      <c r="E33" s="43" t="inlineStr">
        <is>
          <t>2026-08b: switched 18 in -&gt; 24 in. Descent 6.7 -&gt; 5.0 m/s.</t>
        </is>
      </c>
      <c r="F33" s="44" t="n">
        <v>4</v>
      </c>
      <c r="G33" s="45" t="n">
        <v>10.25</v>
      </c>
      <c r="H33" s="45">
        <f>F33*G33</f>
        <v/>
      </c>
    </row>
    <row r="34" ht="15" customHeight="1" s="33">
      <c r="A34" s="40" t="inlineStr">
        <is>
          <t>Aramid (Kevlar) shock cord - 19 ft</t>
        </is>
      </c>
      <c r="B34" s="41" t="inlineStr">
        <is>
          <t>Estes</t>
        </is>
      </c>
      <c r="C34" s="41" t="inlineStr">
        <is>
          <t>Aramid 19ft</t>
        </is>
      </c>
      <c r="D34" s="42" t="inlineStr">
        <is>
          <t>Buy</t>
        </is>
      </c>
      <c r="E34" s="43" t="n"/>
      <c r="F34" s="44" t="n">
        <v>1</v>
      </c>
      <c r="G34" s="45" t="n">
        <v>10</v>
      </c>
      <c r="H34" s="45">
        <f>F34*G34</f>
        <v/>
      </c>
    </row>
    <row r="35" ht="15" customHeight="1" s="33">
      <c r="A35" s="40" t="inlineStr">
        <is>
          <t>Estes recovery wadding (72 sheets)</t>
        </is>
      </c>
      <c r="B35" s="41" t="inlineStr">
        <is>
          <t>Estes</t>
        </is>
      </c>
      <c r="C35" s="41" t="inlineStr">
        <is>
          <t>Recovery wadding</t>
        </is>
      </c>
      <c r="D35" s="42" t="inlineStr">
        <is>
          <t>Buy</t>
        </is>
      </c>
      <c r="E35" s="43" t="n"/>
      <c r="F35" s="44" t="n">
        <v>2</v>
      </c>
      <c r="G35" s="45" t="n">
        <v>5.99</v>
      </c>
      <c r="H35" s="45">
        <f>F35*G35</f>
        <v/>
      </c>
    </row>
    <row r="36" ht="15" customHeight="1" s="33">
      <c r="A36" s="40" t="inlineStr">
        <is>
          <t>Bypass gas tube + twin sealed bulkheads (printed PC-FR)</t>
        </is>
      </c>
      <c r="B36" s="41" t="inlineStr">
        <is>
          <t>In-house</t>
        </is>
      </c>
      <c r="C36" s="41" t="inlineStr">
        <is>
          <t>PC-FR (printed)</t>
        </is>
      </c>
      <c r="D36" s="41" t="inlineStr">
        <is>
          <t>Buy</t>
        </is>
      </c>
      <c r="E36" s="43" t="inlineStr">
        <is>
          <t>printed in-house</t>
        </is>
      </c>
      <c r="F36" s="44" t="n">
        <v>1</v>
      </c>
      <c r="G36" s="45" t="n">
        <v>0</v>
      </c>
      <c r="H36" s="45">
        <f>F36*G36</f>
        <v/>
      </c>
    </row>
    <row r="37" ht="15" customHeight="1" s="33">
      <c r="A37" s="46" t="inlineStr">
        <is>
          <t>Subtotal</t>
        </is>
      </c>
      <c r="B37" s="47" t="n"/>
      <c r="C37" s="47" t="n"/>
      <c r="D37" s="47" t="n"/>
      <c r="E37" s="47" t="n"/>
      <c r="F37" s="47" t="n"/>
      <c r="G37" s="47" t="n"/>
      <c r="H37" s="48">
        <f>SUM(H33:H36)</f>
        <v/>
      </c>
    </row>
    <row r="38"/>
    <row r="39" ht="15" customHeight="1" s="33">
      <c r="A39" s="36" t="inlineStr">
        <is>
          <t>5. Propulsion (Estes motors + launch system)</t>
        </is>
      </c>
      <c r="B39" s="37" t="n"/>
      <c r="C39" s="37" t="n"/>
      <c r="D39" s="37" t="n"/>
      <c r="E39" s="37" t="n"/>
      <c r="F39" s="37" t="n"/>
      <c r="G39" s="37" t="n"/>
      <c r="H39" s="37" t="n"/>
    </row>
    <row r="40" ht="15" customHeight="1" s="33">
      <c r="A40" s="38" t="inlineStr">
        <is>
          <t>Item</t>
        </is>
      </c>
      <c r="B40" s="38" t="inlineStr">
        <is>
          <t>Storefront</t>
        </is>
      </c>
      <c r="C40" s="38" t="inlineStr">
        <is>
          <t>Part # / Spec</t>
        </is>
      </c>
      <c r="D40" s="38" t="inlineStr">
        <is>
          <t>Link</t>
        </is>
      </c>
      <c r="E40" s="38" t="inlineStr">
        <is>
          <t>Note</t>
        </is>
      </c>
      <c r="F40" s="39" t="inlineStr">
        <is>
          <t>Qty</t>
        </is>
      </c>
      <c r="G40" s="39" t="inlineStr">
        <is>
          <t>Unit ($)</t>
        </is>
      </c>
      <c r="H40" s="39" t="inlineStr">
        <is>
          <t>Line ($)</t>
        </is>
      </c>
    </row>
    <row r="41" ht="15" customHeight="1" s="33">
      <c r="A41" s="40" t="inlineStr">
        <is>
          <t>Estes F15-4 2-ct (flight; 4 s delay + ejection = recovery)</t>
        </is>
      </c>
      <c r="B41" s="41" t="inlineStr">
        <is>
          <t>Estes</t>
        </is>
      </c>
      <c r="C41" s="41" t="inlineStr">
        <is>
          <t>F15-4 (2-ct)</t>
        </is>
      </c>
      <c r="D41" s="42" t="inlineStr">
        <is>
          <t>Buy</t>
        </is>
      </c>
      <c r="E41" s="43" t="inlineStr">
        <is>
          <t>4 motors</t>
        </is>
      </c>
      <c r="F41" s="44" t="n">
        <v>2</v>
      </c>
      <c r="G41" s="45" t="n">
        <v>33.99</v>
      </c>
      <c r="H41" s="45">
        <f>F41*G41</f>
        <v/>
      </c>
    </row>
    <row r="42" ht="15" customHeight="1" s="33">
      <c r="A42" s="40" t="inlineStr">
        <is>
          <t>Estes F15-0 2-ct (ground stands; 0-delay plugged)</t>
        </is>
      </c>
      <c r="B42" s="41" t="inlineStr">
        <is>
          <t>Estes</t>
        </is>
      </c>
      <c r="C42" s="41" t="inlineStr">
        <is>
          <t>F15-0 (2-ct)</t>
        </is>
      </c>
      <c r="D42" s="42" t="inlineStr">
        <is>
          <t>Buy</t>
        </is>
      </c>
      <c r="E42" s="43" t="inlineStr">
        <is>
          <t>Static thrust curves + MTVC + servo TVC on the balance (jetvane dropped).</t>
        </is>
      </c>
      <c r="F42" s="44" t="n">
        <v>5</v>
      </c>
      <c r="G42" s="45" t="n">
        <v>33.99</v>
      </c>
      <c r="H42" s="45">
        <f>F42*G42</f>
        <v/>
      </c>
    </row>
    <row r="43" ht="15" customHeight="1" s="33">
      <c r="A43" s="40" t="inlineStr">
        <is>
          <t>Estes E16-4 2-ct (stand commissioning/calibration)</t>
        </is>
      </c>
      <c r="B43" s="41" t="inlineStr">
        <is>
          <t>Estes</t>
        </is>
      </c>
      <c r="C43" s="41" t="inlineStr">
        <is>
          <t>E16-4 (2-ct)</t>
        </is>
      </c>
      <c r="D43" s="42" t="inlineStr">
        <is>
          <t>Buy</t>
        </is>
      </c>
      <c r="E43" s="43" t="inlineStr">
        <is>
          <t>Stand commissioning, 2 firings per stand (Gate 5). NOT in the current cart.</t>
        </is>
      </c>
      <c r="F43" s="44" t="n">
        <v>3</v>
      </c>
      <c r="G43" s="45" t="n">
        <v>33.33</v>
      </c>
      <c r="H43" s="45">
        <f>F43*G43</f>
        <v/>
      </c>
    </row>
    <row r="44" ht="15" customHeight="1" s="33">
      <c r="A44" s="40" t="inlineStr">
        <is>
          <t>Estes large engine plugs (40 ct) - plug F15-0 for ground</t>
        </is>
      </c>
      <c r="B44" s="41" t="inlineStr">
        <is>
          <t>Estes</t>
        </is>
      </c>
      <c r="C44" s="41" t="inlineStr">
        <is>
          <t>Engine plugs 40ct</t>
        </is>
      </c>
      <c r="D44" s="42" t="inlineStr">
        <is>
          <t>Buy</t>
        </is>
      </c>
      <c r="E44" s="43" t="inlineStr">
        <is>
          <t>Static thrust curves + MTVC + servo TVC on the balance (jetvane dropped).</t>
        </is>
      </c>
      <c r="F44" s="44" t="n">
        <v>1</v>
      </c>
      <c r="G44" s="45" t="n">
        <v>7.49</v>
      </c>
      <c r="H44" s="45">
        <f>F44*G44</f>
        <v/>
      </c>
    </row>
    <row r="45" ht="15" customHeight="1" s="33">
      <c r="A45" s="40" t="inlineStr">
        <is>
          <t>Estes STARTech starters (igniters)</t>
        </is>
      </c>
      <c r="B45" s="41" t="inlineStr">
        <is>
          <t>Estes</t>
        </is>
      </c>
      <c r="C45" s="41" t="inlineStr">
        <is>
          <t>STARTech</t>
        </is>
      </c>
      <c r="D45" s="42" t="inlineStr">
        <is>
          <t>Buy</t>
        </is>
      </c>
      <c r="E45" s="43" t="inlineStr">
        <is>
          <t>6 per pack; ~15 firings planned. Cart has 1 pack - short.</t>
        </is>
      </c>
      <c r="F45" s="44" t="n">
        <v>4</v>
      </c>
      <c r="G45" s="45" t="n">
        <v>6.99</v>
      </c>
      <c r="H45" s="45">
        <f>F45*G45</f>
        <v/>
      </c>
    </row>
    <row r="46" ht="15" customHeight="1" s="33">
      <c r="A46" s="40" t="inlineStr">
        <is>
          <t>Estes Pro Series II Launch Controller</t>
        </is>
      </c>
      <c r="B46" s="41" t="inlineStr">
        <is>
          <t>Estes</t>
        </is>
      </c>
      <c r="C46" s="41" t="inlineStr">
        <is>
          <t>Pro Series II LC</t>
        </is>
      </c>
      <c r="D46" s="42" t="inlineStr">
        <is>
          <t>Buy</t>
        </is>
      </c>
      <c r="E46" s="43" t="inlineStr">
        <is>
          <t>REIMBURSED - see Summary</t>
        </is>
      </c>
      <c r="F46" s="44" t="n">
        <v>1</v>
      </c>
      <c r="G46" s="45" t="n">
        <v>43.99</v>
      </c>
      <c r="H46" s="45">
        <f>F46*G46</f>
        <v/>
      </c>
    </row>
    <row r="47" ht="15" customHeight="1" s="33">
      <c r="A47" s="46" t="inlineStr">
        <is>
          <t>Subtotal</t>
        </is>
      </c>
      <c r="B47" s="47" t="n"/>
      <c r="C47" s="47" t="n"/>
      <c r="D47" s="47" t="n"/>
      <c r="E47" s="47" t="n"/>
      <c r="F47" s="47" t="n"/>
      <c r="G47" s="47" t="n"/>
      <c r="H47" s="48">
        <f>SUM(H41:H46)</f>
        <v/>
      </c>
    </row>
    <row r="48"/>
    <row r="49" ht="15" customHeight="1" s="33">
      <c r="A49" s="36" t="inlineStr">
        <is>
          <t>6. Airframe filament (PLA primary + PETG-CF owned)</t>
        </is>
      </c>
      <c r="B49" s="37" t="n"/>
      <c r="C49" s="37" t="n"/>
      <c r="D49" s="37" t="n"/>
      <c r="E49" s="37" t="n"/>
      <c r="F49" s="37" t="n"/>
      <c r="G49" s="37" t="n"/>
      <c r="H49" s="37" t="n"/>
    </row>
    <row r="50" ht="15" customHeight="1" s="33">
      <c r="A50" s="38" t="inlineStr">
        <is>
          <t>Item</t>
        </is>
      </c>
      <c r="B50" s="38" t="inlineStr">
        <is>
          <t>Storefront</t>
        </is>
      </c>
      <c r="C50" s="38" t="inlineStr">
        <is>
          <t>Part # / Spec</t>
        </is>
      </c>
      <c r="D50" s="38" t="inlineStr">
        <is>
          <t>Link</t>
        </is>
      </c>
      <c r="E50" s="38" t="inlineStr">
        <is>
          <t>Note</t>
        </is>
      </c>
      <c r="F50" s="39" t="inlineStr">
        <is>
          <t>Qty</t>
        </is>
      </c>
      <c r="G50" s="39" t="inlineStr">
        <is>
          <t>Unit ($)</t>
        </is>
      </c>
      <c r="H50" s="39" t="inlineStr">
        <is>
          <t>Line ($)</t>
        </is>
      </c>
    </row>
    <row r="51" ht="15" customHeight="1" s="33">
      <c r="A51" s="40" t="inlineStr">
        <is>
          <t>kexcelled PC-FR flame-retardant PC (UL94-V0), Black - 1 kg</t>
        </is>
      </c>
      <c r="B51" s="41" t="inlineStr">
        <is>
          <t>Amazon</t>
        </is>
      </c>
      <c r="C51" s="41" t="inlineStr">
        <is>
          <t>B0FN8366S3</t>
        </is>
      </c>
      <c r="D51" s="42" t="inlineStr">
        <is>
          <t>Buy</t>
        </is>
      </c>
      <c r="E51" s="43" t="inlineStr">
        <is>
          <t>REMOVED 2026-08b: PC-FR is out of the design (PLA/PETG-CF now). PETG-CF is already owned.</t>
        </is>
      </c>
      <c r="F51" s="44" t="n">
        <v>0</v>
      </c>
      <c r="G51" s="45" t="n">
        <v>0</v>
      </c>
      <c r="H51" s="45">
        <f>F51*G51</f>
        <v/>
      </c>
    </row>
    <row r="52" ht="15" customHeight="1" s="33">
      <c r="A52" s="40" t="inlineStr">
        <is>
          <t>Bambu ASA-Aero foaming ASA (main airframe) - 2 kg</t>
        </is>
      </c>
      <c r="B52" s="41" t="inlineStr">
        <is>
          <t>Bambu Lab</t>
        </is>
      </c>
      <c r="C52" s="41" t="inlineStr">
        <is>
          <t>ASA-Aero</t>
        </is>
      </c>
      <c r="D52" s="42" t="inlineStr">
        <is>
          <t>Buy</t>
        </is>
      </c>
      <c r="E52" s="43" t="inlineStr">
        <is>
          <t>REMOVED 2026-08b: ASA-Aero is out of the design. Primary structure is now PLA.</t>
        </is>
      </c>
      <c r="F52" s="44" t="n">
        <v>0</v>
      </c>
      <c r="G52" s="45" t="n">
        <v>0</v>
      </c>
      <c r="H52" s="45">
        <f>F52*G52</f>
        <v/>
      </c>
    </row>
    <row r="53" ht="15" customHeight="1" s="33">
      <c r="A53" s="40" t="inlineStr">
        <is>
          <t>Creality ABS, Black - 1 kg (jetvane coupon material)</t>
        </is>
      </c>
      <c r="B53" s="41" t="inlineStr">
        <is>
          <t>Amazon</t>
        </is>
      </c>
      <c r="C53" s="41" t="inlineStr">
        <is>
          <t>B0C7BW71L8</t>
        </is>
      </c>
      <c r="D53" s="42" t="inlineStr">
        <is>
          <t>Buy</t>
        </is>
      </c>
      <c r="E53" s="43" t="inlineStr">
        <is>
          <t>REMOVED 2026-08b: ABS was jetvane coupon material only; jetvane testing dropped.</t>
        </is>
      </c>
      <c r="F53" s="44" t="n">
        <v>0</v>
      </c>
      <c r="G53" s="45" t="n">
        <v>0</v>
      </c>
      <c r="H53" s="45">
        <f>F53*G53</f>
        <v/>
      </c>
    </row>
    <row r="54" ht="15" customHeight="1" s="33">
      <c r="A54" s="40" t="inlineStr">
        <is>
          <t>SUNLU PC, Natural White - 1 kg (pure-PC coupons)</t>
        </is>
      </c>
      <c r="B54" s="41" t="inlineStr">
        <is>
          <t>Amazon</t>
        </is>
      </c>
      <c r="C54" s="41" t="inlineStr">
        <is>
          <t>B0FB2KNC8P</t>
        </is>
      </c>
      <c r="D54" s="42" t="inlineStr">
        <is>
          <t>Buy</t>
        </is>
      </c>
      <c r="E54" s="43" t="inlineStr">
        <is>
          <t>REMOVED 2026-08b: pure-PC coupons belonged to the retired zoned-materials RQ2.</t>
        </is>
      </c>
      <c r="F54" s="44" t="n">
        <v>0</v>
      </c>
      <c r="G54" s="45" t="n">
        <v>0</v>
      </c>
      <c r="H54" s="45">
        <f>F54*G54</f>
        <v/>
      </c>
    </row>
    <row r="55" ht="15" customHeight="1" s="33">
      <c r="A55" s="40" t="inlineStr">
        <is>
          <t>Bambu/generic PLA 1.75 mm - PRIMARY AIRFRAME (nose, bay tubes, fins) - 1 kg</t>
        </is>
      </c>
      <c r="B55" s="41" t="inlineStr">
        <is>
          <t>Amazon</t>
        </is>
      </c>
      <c r="C55" s="41" t="inlineStr">
        <is>
          <t>B0D5MG8JDR</t>
        </is>
      </c>
      <c r="D55" s="42" t="inlineStr">
        <is>
          <t>Buy</t>
        </is>
      </c>
      <c r="E55" s="43" t="inlineStr">
        <is>
          <t>PLA is now the PRIMARY AIRFRAME material (nose, both bay tubes, fins). 2 kg owned; buy 2 kg more for supports/reprints.</t>
        </is>
      </c>
      <c r="F55" s="44" t="n">
        <v>2</v>
      </c>
      <c r="G55" s="45" t="n">
        <v>19.99</v>
      </c>
      <c r="H55" s="45">
        <f>F55*G55</f>
        <v/>
      </c>
    </row>
    <row r="56" ht="15" customHeight="1" s="33">
      <c r="A56" s="46" t="inlineStr">
        <is>
          <t>Subtotal</t>
        </is>
      </c>
      <c r="B56" s="47" t="n"/>
      <c r="C56" s="47" t="n"/>
      <c r="D56" s="47" t="n"/>
      <c r="E56" s="47" t="n"/>
      <c r="F56" s="47" t="n"/>
      <c r="G56" s="47" t="n"/>
      <c r="H56" s="48">
        <f>SUM(H51:H55)</f>
        <v/>
      </c>
    </row>
    <row r="57"/>
    <row r="58" ht="15" customHeight="1" s="33">
      <c r="A58" s="36" t="inlineStr">
        <is>
          <t>7. Harness, connectors, prototyping &amp; assembly</t>
        </is>
      </c>
      <c r="B58" s="37" t="n"/>
      <c r="C58" s="37" t="n"/>
      <c r="D58" s="37" t="n"/>
      <c r="E58" s="37" t="n"/>
      <c r="F58" s="37" t="n"/>
      <c r="G58" s="37" t="n"/>
      <c r="H58" s="37" t="n"/>
    </row>
    <row r="59" ht="15" customHeight="1" s="33">
      <c r="A59" s="38" t="inlineStr">
        <is>
          <t>Item</t>
        </is>
      </c>
      <c r="B59" s="38" t="inlineStr">
        <is>
          <t>Storefront</t>
        </is>
      </c>
      <c r="C59" s="38" t="inlineStr">
        <is>
          <t>Part # / Spec</t>
        </is>
      </c>
      <c r="D59" s="38" t="inlineStr">
        <is>
          <t>Link</t>
        </is>
      </c>
      <c r="E59" s="38" t="inlineStr">
        <is>
          <t>Note</t>
        </is>
      </c>
      <c r="F59" s="39" t="inlineStr">
        <is>
          <t>Qty</t>
        </is>
      </c>
      <c r="G59" s="39" t="inlineStr">
        <is>
          <t>Unit ($)</t>
        </is>
      </c>
      <c r="H59" s="39" t="inlineStr">
        <is>
          <t>Line ($)</t>
        </is>
      </c>
    </row>
    <row r="60" ht="15" customHeight="1" s="33">
      <c r="A60" s="40" t="inlineStr">
        <is>
          <t>ZSHX lead-free solder Sn99/Ag0.3/Cu0.7 (0.8 mm, 100 g)</t>
        </is>
      </c>
      <c r="B60" s="41" t="inlineStr">
        <is>
          <t>Amazon</t>
        </is>
      </c>
      <c r="C60" s="41" t="inlineStr">
        <is>
          <t>B07QZYC5PG</t>
        </is>
      </c>
      <c r="D60" s="42" t="inlineStr">
        <is>
          <t>Buy</t>
        </is>
      </c>
      <c r="E60" s="43" t="inlineStr">
        <is>
          <t>in cart</t>
        </is>
      </c>
      <c r="F60" s="44" t="n">
        <v>1</v>
      </c>
      <c r="G60" s="45" t="n">
        <v>15.99</v>
      </c>
      <c r="H60" s="45">
        <f>F60*G60</f>
        <v/>
      </c>
    </row>
    <row r="61" ht="15" customHeight="1" s="33">
      <c r="A61" s="40" t="inlineStr">
        <is>
          <t>TUOFENG 24 AWG flexible silicone wire kit (6-color, 30 ft)</t>
        </is>
      </c>
      <c r="B61" s="41" t="inlineStr">
        <is>
          <t>Amazon</t>
        </is>
      </c>
      <c r="C61" s="41" t="inlineStr">
        <is>
          <t>B07G2BWBX8</t>
        </is>
      </c>
      <c r="D61" s="42" t="inlineStr">
        <is>
          <t>Buy</t>
        </is>
      </c>
      <c r="E61" s="43" t="inlineStr">
        <is>
          <t>in cart</t>
        </is>
      </c>
      <c r="F61" s="44" t="n">
        <v>1</v>
      </c>
      <c r="G61" s="45" t="n">
        <v>15.79</v>
      </c>
      <c r="H61" s="45">
        <f>F61*G61</f>
        <v/>
      </c>
    </row>
    <row r="62" ht="15" customHeight="1" s="33">
      <c r="A62" s="40" t="inlineStr">
        <is>
          <t>HANGLIFE heat-set insert assortment M2-M6 (345 pc)</t>
        </is>
      </c>
      <c r="B62" s="41" t="inlineStr">
        <is>
          <t>Amazon</t>
        </is>
      </c>
      <c r="C62" s="41" t="inlineStr">
        <is>
          <t>B0CS6WXQPM</t>
        </is>
      </c>
      <c r="D62" s="42" t="inlineStr">
        <is>
          <t>Buy</t>
        </is>
      </c>
      <c r="E62" s="43" t="inlineStr">
        <is>
          <t>in cart</t>
        </is>
      </c>
      <c r="F62" s="44" t="n">
        <v>1</v>
      </c>
      <c r="G62" s="45" t="n">
        <v>19.99</v>
      </c>
      <c r="H62" s="45">
        <f>F62*G62</f>
        <v/>
      </c>
    </row>
    <row r="63" ht="15" customHeight="1" s="33">
      <c r="A63" s="40" t="inlineStr">
        <is>
          <t>Adafruit Perma-Proto half breadboard PCB</t>
        </is>
      </c>
      <c r="B63" s="41" t="inlineStr">
        <is>
          <t>Adafruit</t>
        </is>
      </c>
      <c r="C63" s="41" t="inlineStr">
        <is>
          <t>PID 1609</t>
        </is>
      </c>
      <c r="D63" s="42" t="inlineStr">
        <is>
          <t>Buy</t>
        </is>
      </c>
      <c r="E63" s="43" t="inlineStr">
        <is>
          <t>in Adafruit cart</t>
        </is>
      </c>
      <c r="F63" s="44" t="n">
        <v>5</v>
      </c>
      <c r="G63" s="45" t="n">
        <v>4.5</v>
      </c>
      <c r="H63" s="45">
        <f>F63*G63</f>
        <v/>
      </c>
    </row>
    <row r="64" ht="15" customHeight="1" s="33">
      <c r="A64" s="40" t="inlineStr">
        <is>
          <t>Multi-colored heat-shrink pack</t>
        </is>
      </c>
      <c r="B64" s="41" t="inlineStr">
        <is>
          <t>Adafruit</t>
        </is>
      </c>
      <c r="C64" s="41" t="inlineStr">
        <is>
          <t>PID 1649</t>
        </is>
      </c>
      <c r="D64" s="42" t="inlineStr">
        <is>
          <t>Buy</t>
        </is>
      </c>
      <c r="E64" s="43" t="inlineStr">
        <is>
          <t>in Adafruit cart</t>
        </is>
      </c>
      <c r="F64" s="44" t="n">
        <v>1</v>
      </c>
      <c r="G64" s="45" t="n">
        <v>4.95</v>
      </c>
      <c r="H64" s="45">
        <f>F64*G64</f>
        <v/>
      </c>
    </row>
    <row r="65" ht="15" customHeight="1" s="33">
      <c r="A65" s="40" t="inlineStr">
        <is>
          <t>High-temp polyimide tape 1 cm x 33 m</t>
        </is>
      </c>
      <c r="B65" s="41" t="inlineStr">
        <is>
          <t>Adafruit</t>
        </is>
      </c>
      <c r="C65" s="41" t="inlineStr">
        <is>
          <t>PID 3057</t>
        </is>
      </c>
      <c r="D65" s="42" t="inlineStr">
        <is>
          <t>Buy</t>
        </is>
      </c>
      <c r="E65" s="43" t="inlineStr">
        <is>
          <t>in Adafruit cart</t>
        </is>
      </c>
      <c r="F65" s="44" t="n">
        <v>1</v>
      </c>
      <c r="G65" s="45" t="n">
        <v>4.95</v>
      </c>
      <c r="H65" s="45">
        <f>F65*G65</f>
        <v/>
      </c>
    </row>
    <row r="66" ht="15" customHeight="1" s="33">
      <c r="A66" s="40" t="inlineStr">
        <is>
          <t>Adafruit male header 36-pin short breakaway (10-pk)</t>
        </is>
      </c>
      <c r="B66" s="41" t="inlineStr">
        <is>
          <t>Adafruit</t>
        </is>
      </c>
      <c r="C66" s="41" t="inlineStr">
        <is>
          <t>PID 3009</t>
        </is>
      </c>
      <c r="D66" s="42" t="inlineStr">
        <is>
          <t>Buy</t>
        </is>
      </c>
      <c r="E66" s="43" t="inlineStr">
        <is>
          <t>in Adafruit cart</t>
        </is>
      </c>
      <c r="F66" s="44" t="n">
        <v>1</v>
      </c>
      <c r="G66" s="45" t="n">
        <v>4.95</v>
      </c>
      <c r="H66" s="45">
        <f>F66*G66</f>
        <v/>
      </c>
    </row>
    <row r="67" ht="15" customHeight="1" s="33">
      <c r="A67" s="40" t="inlineStr">
        <is>
          <t>STEMMA QT JST-SH 4-pin to male header, 150 mm</t>
        </is>
      </c>
      <c r="B67" s="41" t="inlineStr">
        <is>
          <t>Adafruit</t>
        </is>
      </c>
      <c r="C67" s="41" t="inlineStr">
        <is>
          <t>PID 4209</t>
        </is>
      </c>
      <c r="D67" s="42" t="inlineStr">
        <is>
          <t>Buy</t>
        </is>
      </c>
      <c r="E67" s="43" t="inlineStr">
        <is>
          <t>in Adafruit cart</t>
        </is>
      </c>
      <c r="F67" s="44" t="n">
        <v>6</v>
      </c>
      <c r="G67" s="45" t="n">
        <v>0.95</v>
      </c>
      <c r="H67" s="45">
        <f>F67*G67</f>
        <v/>
      </c>
    </row>
    <row r="68" ht="15" customHeight="1" s="33">
      <c r="A68" s="40" t="inlineStr">
        <is>
          <t>BSS138 4-ch I2C-safe logic level converter</t>
        </is>
      </c>
      <c r="B68" s="41" t="inlineStr">
        <is>
          <t>Adafruit</t>
        </is>
      </c>
      <c r="C68" s="41" t="inlineStr">
        <is>
          <t>PID 757</t>
        </is>
      </c>
      <c r="D68" s="42" t="inlineStr">
        <is>
          <t>Buy</t>
        </is>
      </c>
      <c r="E68" s="43" t="inlineStr">
        <is>
          <t>in Adafruit cart</t>
        </is>
      </c>
      <c r="F68" s="44" t="n">
        <v>2</v>
      </c>
      <c r="G68" s="45" t="n">
        <v>3.95</v>
      </c>
      <c r="H68" s="45">
        <f>F68*G68</f>
        <v/>
      </c>
    </row>
    <row r="69" ht="15" customHeight="1" s="33">
      <c r="A69" s="40" t="inlineStr">
        <is>
          <t>2.54 mm terminal block, 2-pin</t>
        </is>
      </c>
      <c r="B69" s="41" t="inlineStr">
        <is>
          <t>Adafruit</t>
        </is>
      </c>
      <c r="C69" s="41" t="inlineStr">
        <is>
          <t>PID 2138</t>
        </is>
      </c>
      <c r="D69" s="42" t="inlineStr">
        <is>
          <t>Buy</t>
        </is>
      </c>
      <c r="E69" s="43" t="inlineStr">
        <is>
          <t>in Adafruit cart</t>
        </is>
      </c>
      <c r="F69" s="44" t="n">
        <v>10</v>
      </c>
      <c r="G69" s="45" t="n">
        <v>0.86</v>
      </c>
      <c r="H69" s="45">
        <f>F69*G69</f>
        <v/>
      </c>
    </row>
    <row r="70" ht="15" customHeight="1" s="33">
      <c r="A70" s="40" t="inlineStr">
        <is>
          <t>USB-C to Micro-B cable, 3 ft</t>
        </is>
      </c>
      <c r="B70" s="41" t="inlineStr">
        <is>
          <t>Adafruit</t>
        </is>
      </c>
      <c r="C70" s="41" t="inlineStr">
        <is>
          <t>PID 3878</t>
        </is>
      </c>
      <c r="D70" s="42" t="inlineStr">
        <is>
          <t>Buy</t>
        </is>
      </c>
      <c r="E70" s="43" t="inlineStr">
        <is>
          <t>in Adafruit cart</t>
        </is>
      </c>
      <c r="F70" s="44" t="n">
        <v>2</v>
      </c>
      <c r="G70" s="45" t="n">
        <v>3.5</v>
      </c>
      <c r="H70" s="45">
        <f>F70*G70</f>
        <v/>
      </c>
    </row>
    <row r="71" ht="15" customHeight="1" s="33">
      <c r="A71" s="40" t="inlineStr">
        <is>
          <t>Silicone USB-C dust cover inserts (10-pk)</t>
        </is>
      </c>
      <c r="B71" s="41" t="inlineStr">
        <is>
          <t>Adafruit</t>
        </is>
      </c>
      <c r="C71" s="41" t="inlineStr">
        <is>
          <t>PID 4993</t>
        </is>
      </c>
      <c r="D71" s="42" t="inlineStr">
        <is>
          <t>Buy</t>
        </is>
      </c>
      <c r="E71" s="43" t="inlineStr">
        <is>
          <t>in Adafruit cart</t>
        </is>
      </c>
      <c r="F71" s="44" t="n">
        <v>3</v>
      </c>
      <c r="G71" s="45" t="n">
        <v>1.5</v>
      </c>
      <c r="H71" s="45">
        <f>F71*G71</f>
        <v/>
      </c>
    </row>
    <row r="72" ht="15" customHeight="1" s="33">
      <c r="A72" s="40" t="inlineStr">
        <is>
          <t>PCB coaster (free w/ Adafruit order)</t>
        </is>
      </c>
      <c r="B72" s="41" t="inlineStr">
        <is>
          <t>Adafruit</t>
        </is>
      </c>
      <c r="C72" s="41" t="inlineStr">
        <is>
          <t>PID 5719</t>
        </is>
      </c>
      <c r="D72" s="42" t="inlineStr">
        <is>
          <t>Buy</t>
        </is>
      </c>
      <c r="E72" s="43" t="inlineStr">
        <is>
          <t>FREE</t>
        </is>
      </c>
      <c r="F72" s="44" t="n">
        <v>1</v>
      </c>
      <c r="G72" s="45" t="n">
        <v>0</v>
      </c>
      <c r="H72" s="45">
        <f>F72*G72</f>
        <v/>
      </c>
    </row>
    <row r="73" ht="15" customHeight="1" s="33">
      <c r="A73" s="32" t="inlineStr">
        <is>
          <t>microSD SPI breakout board (SPI0 GP2-5; Pico has no SD slot)</t>
        </is>
      </c>
      <c r="B73" s="32" t="inlineStr">
        <is>
          <t>Adafruit</t>
        </is>
      </c>
      <c r="C73" s="32" t="inlineStr">
        <is>
          <t>PID 254</t>
        </is>
      </c>
      <c r="D73" s="32" t="inlineStr">
        <is>
          <t>Buy</t>
        </is>
      </c>
      <c r="E73" s="32" t="inlineStr">
        <is>
          <t>MISSING FROM BOM until 2026-08 - firmware sd_logger.h requires it</t>
        </is>
      </c>
      <c r="F73" s="32" t="n">
        <v>1</v>
      </c>
      <c r="G73" s="32" t="n">
        <v>7.5</v>
      </c>
      <c r="H73" s="32">
        <f>F73*G73</f>
        <v/>
      </c>
    </row>
    <row r="74">
      <c r="A74" s="32" t="inlineStr">
        <is>
          <t>1010 launch rail + pad (rail-exit gate is 1.0 m of rail)</t>
        </is>
      </c>
      <c r="B74" s="32" t="inlineStr">
        <is>
          <t>Estes/Amazon</t>
        </is>
      </c>
      <c r="C74" s="32" t="inlineStr">
        <is>
          <t>1010 rail</t>
        </is>
      </c>
      <c r="D74" s="32" t="inlineStr">
        <is>
          <t>Buy</t>
        </is>
      </c>
      <c r="E74" s="32" t="inlineStr">
        <is>
          <t>MISSING FROM BOM until 2026-08 - controller was costed, rail was not</t>
        </is>
      </c>
      <c r="F74" s="32" t="n">
        <v>1</v>
      </c>
      <c r="G74" s="32" t="n">
        <v>29.99</v>
      </c>
      <c r="H74" s="32">
        <f>F74*G74</f>
        <v/>
      </c>
    </row>
    <row r="75" ht="15" customHeight="1" s="33">
      <c r="A75" s="32" t="inlineStr">
        <is>
          <t>Nomex chute protector blanket (ejection-gas shield)</t>
        </is>
      </c>
      <c r="B75" s="32" t="inlineStr">
        <is>
          <t>Amazon</t>
        </is>
      </c>
      <c r="C75" s="32" t="inlineStr">
        <is>
          <t>12x12 in Nomex</t>
        </is>
      </c>
      <c r="D75" s="32" t="inlineStr">
        <is>
          <t>Buy</t>
        </is>
      </c>
      <c r="E75" s="32" t="inlineStr">
        <is>
          <t>MISSING FROM BOM until 2026-08 - wadding is not equivalent for a bypass gas path</t>
        </is>
      </c>
      <c r="F75" s="32" t="n">
        <v>1</v>
      </c>
      <c r="G75" s="32" t="n">
        <v>8.99</v>
      </c>
      <c r="H75" s="32">
        <f>F75*G75</f>
        <v/>
      </c>
    </row>
    <row r="76" ht="15" customHeight="1" s="33">
      <c r="A76" s="32" t="inlineStr">
        <is>
          <t>Handheld anemometer (launch-site wind; RQ3 margin + go/no-go)</t>
        </is>
      </c>
      <c r="B76" s="32" t="inlineStr">
        <is>
          <t>Amazon</t>
        </is>
      </c>
      <c r="C76" s="32" t="inlineStr">
        <is>
          <t>vane anemometer</t>
        </is>
      </c>
      <c r="D76" s="32" t="inlineStr">
        <is>
          <t>Buy</t>
        </is>
      </c>
      <c r="E76" s="32" t="inlineStr">
        <is>
          <t>MISSING FROM BOM until 2026-08 - we4_flight_reduce.py --wind needs a measurement</t>
        </is>
      </c>
      <c r="F76" s="32" t="n">
        <v>1</v>
      </c>
      <c r="G76" s="32" t="n">
        <v>19.99</v>
      </c>
      <c r="H76" s="32">
        <f>F76*G76</f>
        <v/>
      </c>
    </row>
    <row r="77" ht="15" customHeight="1" s="33">
      <c r="A77" s="32" t="inlineStr">
        <is>
          <t>Steel blast deflector plate (static stand; PC-FR will not survive)</t>
        </is>
      </c>
      <c r="B77" s="32" t="inlineStr">
        <is>
          <t>Local</t>
        </is>
      </c>
      <c r="C77" s="32" t="inlineStr">
        <is>
          <t>mild steel ~150 mm sq</t>
        </is>
      </c>
      <c r="D77" s="32" t="inlineStr">
        <is>
          <t>Buy</t>
        </is>
      </c>
      <c r="E77" s="32" t="inlineStr">
        <is>
          <t>MISSING FROM BOM until 2026-08 - CAD generates a printable one, plume needs steel</t>
        </is>
      </c>
      <c r="F77" s="32" t="n">
        <v>1</v>
      </c>
      <c r="G77" s="32" t="n">
        <v>14.99</v>
      </c>
      <c r="H77" s="32">
        <f>F77*G77</f>
        <v/>
      </c>
    </row>
    <row r="78" ht="15" customHeight="1" s="33">
      <c r="A78" s="32" t="inlineStr">
        <is>
          <t>BMP388 barometric sensor (FLIGHT-BLOCKING - not in cart)</t>
        </is>
      </c>
      <c r="B78" s="32" t="inlineStr">
        <is>
          <t>Adafruit</t>
        </is>
      </c>
      <c r="C78" s="32" t="inlineStr">
        <is>
          <t>PID 3966</t>
        </is>
      </c>
      <c r="D78" s="32" t="inlineStr">
        <is>
          <t>Buy</t>
        </is>
      </c>
      <c r="E78" s="32" t="inlineStr">
        <is>
          <t>Apogee detect + the entire RQ3 coast-Cd reconstruction. Self-test gates on BARO_BMP.</t>
        </is>
      </c>
      <c r="F78" s="32" t="n">
        <v>2</v>
      </c>
      <c r="G78" s="32" t="n">
        <v>9.949999999999999</v>
      </c>
      <c r="H78" s="32">
        <f>F78*G78</f>
        <v/>
      </c>
    </row>
    <row r="79" ht="15" customHeight="1" s="33">
      <c r="A79" s="32" t="inlineStr">
        <is>
          <t>Decoupling kit: 1000 uF + 100 uF low-ESR + SS34 Schottky</t>
        </is>
      </c>
      <c r="B79" s="32" t="inlineStr">
        <is>
          <t>Amazon</t>
        </is>
      </c>
      <c r="C79" s="32" t="inlineStr">
        <is>
          <t>low-ESR + SS34</t>
        </is>
      </c>
      <c r="D79" s="32" t="inlineStr">
        <is>
          <t>Buy</t>
        </is>
      </c>
      <c r="E79" s="32" t="inlineStr">
        <is>
          <t>MANDATORY per COMPATIBILITY.md 5c - servo stall browns out the Pico without it.</t>
        </is>
      </c>
      <c r="F79" s="32" t="n">
        <v>1</v>
      </c>
      <c r="G79" s="32" t="n">
        <v>9.99</v>
      </c>
      <c r="H79" s="32">
        <f>F79*G79</f>
        <v/>
      </c>
    </row>
    <row r="80" ht="15" customHeight="1" s="33">
      <c r="A80" s="32" t="inlineStr">
        <is>
          <t>SPDT slide arming switch (RBF sense on GP22)</t>
        </is>
      </c>
      <c r="B80" s="32" t="inlineStr">
        <is>
          <t>Amazon</t>
        </is>
      </c>
      <c r="C80" s="32" t="inlineStr">
        <is>
          <t>SPDT slide</t>
        </is>
      </c>
      <c r="D80" s="32" t="inlineStr">
        <is>
          <t>Buy</t>
        </is>
      </c>
      <c r="E80" s="32" t="inlineStr"/>
      <c r="F80" s="32" t="n">
        <v>2</v>
      </c>
      <c r="G80" s="32" t="n">
        <v>0.95</v>
      </c>
      <c r="H80" s="32">
        <f>F80*G80</f>
        <v/>
      </c>
    </row>
    <row r="81" ht="15" customHeight="1" s="33">
      <c r="A81" s="32" t="inlineStr">
        <is>
          <t>LiPo balance charger (2S)</t>
        </is>
      </c>
      <c r="B81" s="32" t="inlineStr">
        <is>
          <t>Amazon</t>
        </is>
      </c>
      <c r="C81" s="32" t="inlineStr">
        <is>
          <t>HTRC B3</t>
        </is>
      </c>
      <c r="D81" s="32" t="inlineStr">
        <is>
          <t>Buy</t>
        </is>
      </c>
      <c r="E81" s="32" t="inlineStr">
        <is>
          <t>Cannot charge the OVONIC packs without one.</t>
        </is>
      </c>
      <c r="F81" s="32" t="n">
        <v>1</v>
      </c>
      <c r="G81" s="32" t="n">
        <v>13.99</v>
      </c>
      <c r="H81" s="32">
        <f>F81*G81</f>
        <v/>
      </c>
    </row>
    <row r="82" ht="15" customHeight="1" s="33">
      <c r="A82" s="32" t="inlineStr">
        <is>
          <t>Calibration masses to ~2.5 kg (Gate 4 load-cell cal)</t>
        </is>
      </c>
      <c r="B82" s="32" t="inlineStr">
        <is>
          <t>local</t>
        </is>
      </c>
      <c r="C82" s="32" t="inlineStr">
        <is>
          <t>known masses</t>
        </is>
      </c>
      <c r="D82" s="32" t="inlineStr">
        <is>
          <t>Buy</t>
        </is>
      </c>
      <c r="E82" s="32" t="inlineStr">
        <is>
          <t>UCEC set tops out at 211 g = 4% of the 5 kg axial cell's range.</t>
        </is>
      </c>
      <c r="F82" s="32" t="n">
        <v>1</v>
      </c>
      <c r="G82" s="32" t="n">
        <v>14.99</v>
      </c>
      <c r="H82" s="32">
        <f>F82*G82</f>
        <v/>
      </c>
    </row>
    <row r="83" ht="15" customHeight="1" s="33">
      <c r="A83" s="32" t="inlineStr">
        <is>
          <t>M2 ball-link rod ends, 10-pk (RE-SOURCED - original ships Aug 12-21)</t>
        </is>
      </c>
      <c r="B83" s="32" t="inlineStr">
        <is>
          <t>Amazon</t>
        </is>
      </c>
      <c r="C83" s="32" t="inlineStr">
        <is>
          <t>B0F1XK7H11</t>
        </is>
      </c>
      <c r="D83" s="32" t="inlineStr">
        <is>
          <t>Buy</t>
        </is>
      </c>
      <c r="E83" s="32" t="inlineStr">
        <is>
          <t>Gimbal linkage sits on the Day-7 bench gate; original delivery misses it.</t>
        </is>
      </c>
      <c r="F83" s="32" t="n">
        <v>1</v>
      </c>
      <c r="G83" s="32" t="n">
        <v>9.99</v>
      </c>
      <c r="H83" s="32">
        <f>F83*G83</f>
        <v/>
      </c>
    </row>
    <row r="84">
      <c r="A84" s="46" t="inlineStr">
        <is>
          <t>Subtotal</t>
        </is>
      </c>
      <c r="B84" s="47" t="n"/>
      <c r="C84" s="47" t="n"/>
      <c r="D84" s="47" t="inlineStr">
        <is>
          <t>https://www.adafruit.com/product/4543</t>
        </is>
      </c>
      <c r="E84" s="47" t="n"/>
      <c r="F84" s="47" t="n"/>
      <c r="G84" s="47" t="n"/>
      <c r="H84" s="48">
        <f>SUM(H60:H83)</f>
        <v/>
      </c>
    </row>
    <row r="85" ht="15" customHeight="1" s="33">
      <c r="D85" s="32" t="inlineStr">
        <is>
          <t>https://www.adafruit.com/product/5974</t>
        </is>
      </c>
    </row>
    <row r="86" ht="15" customHeight="1" s="33">
      <c r="A86" s="36" t="inlineStr">
        <is>
          <t>8. Ground test - TVC balance + static stand (load cells + DAQ)</t>
        </is>
      </c>
      <c r="B86" s="37" t="n"/>
      <c r="C86" s="37" t="n"/>
      <c r="D86" s="37" t="inlineStr">
        <is>
          <t>https://www.adafruit.com/product/5302</t>
        </is>
      </c>
      <c r="E86" s="37" t="n"/>
      <c r="F86" s="37" t="n"/>
      <c r="G86" s="37" t="n"/>
      <c r="H86" s="37" t="n"/>
    </row>
    <row r="87" ht="15" customHeight="1" s="33">
      <c r="A87" s="38" t="inlineStr">
        <is>
          <t>Item</t>
        </is>
      </c>
      <c r="B87" s="38" t="inlineStr">
        <is>
          <t>Storefront</t>
        </is>
      </c>
      <c r="C87" s="38" t="inlineStr">
        <is>
          <t>Part # / Spec</t>
        </is>
      </c>
      <c r="D87" s="38" t="inlineStr">
        <is>
          <t>Link</t>
        </is>
      </c>
      <c r="E87" s="38" t="inlineStr">
        <is>
          <t>Note</t>
        </is>
      </c>
      <c r="F87" s="39" t="inlineStr">
        <is>
          <t>Qty</t>
        </is>
      </c>
      <c r="G87" s="39" t="inlineStr">
        <is>
          <t>Unit ($)</t>
        </is>
      </c>
      <c r="H87" s="39" t="inlineStr">
        <is>
          <t>Line ($)</t>
        </is>
      </c>
    </row>
    <row r="88" ht="15" customHeight="1" s="33">
      <c r="A88" s="40" t="inlineStr">
        <is>
          <t>Adafruit strain-gauge load cell 1 kg (lateral X,Y)</t>
        </is>
      </c>
      <c r="B88" s="41" t="inlineStr">
        <is>
          <t>Adafruit</t>
        </is>
      </c>
      <c r="C88" s="41" t="inlineStr">
        <is>
          <t>PID 4540</t>
        </is>
      </c>
      <c r="D88" s="42" t="inlineStr">
        <is>
          <t>Buy</t>
        </is>
      </c>
      <c r="E88" s="43" t="inlineStr">
        <is>
          <t>in Adafruit cart</t>
        </is>
      </c>
      <c r="F88" s="44" t="n">
        <v>2</v>
      </c>
      <c r="G88" s="45" t="n">
        <v>3.95</v>
      </c>
      <c r="H88" s="45">
        <f>F88*G88</f>
        <v/>
      </c>
    </row>
    <row r="89" ht="15" customHeight="1" s="33">
      <c r="A89" s="40" t="inlineStr">
        <is>
          <t>Adafruit strain-gauge load cell 20 kg (static stand)</t>
        </is>
      </c>
      <c r="B89" s="41" t="inlineStr">
        <is>
          <t>Adafruit</t>
        </is>
      </c>
      <c r="C89" s="41" t="inlineStr">
        <is>
          <t>PID 4543</t>
        </is>
      </c>
      <c r="D89" s="42" t="inlineStr">
        <is>
          <t>Buy</t>
        </is>
      </c>
      <c r="E89" s="43" t="inlineStr">
        <is>
          <t>in Adafruit cart</t>
        </is>
      </c>
      <c r="F89" s="44" t="n">
        <v>2</v>
      </c>
      <c r="G89" s="45" t="n">
        <v>3.95</v>
      </c>
      <c r="H89" s="45">
        <f>F89*G89</f>
        <v/>
      </c>
    </row>
    <row r="90" ht="15" customHeight="1" s="33">
      <c r="A90" s="40" t="inlineStr">
        <is>
          <t>Adafruit HX711 24-bit ADC</t>
        </is>
      </c>
      <c r="B90" s="41" t="inlineStr">
        <is>
          <t>Adafruit</t>
        </is>
      </c>
      <c r="C90" s="41" t="inlineStr">
        <is>
          <t>PID 5974</t>
        </is>
      </c>
      <c r="D90" s="42" t="inlineStr">
        <is>
          <t>Buy</t>
        </is>
      </c>
      <c r="E90" s="43" t="inlineStr">
        <is>
          <t>in Adafruit cart</t>
        </is>
      </c>
      <c r="F90" s="44" t="n">
        <v>3</v>
      </c>
      <c r="G90" s="45" t="n">
        <v>9.949999999999999</v>
      </c>
      <c r="H90" s="45">
        <f>F90*G90</f>
        <v/>
      </c>
    </row>
    <row r="91" ht="15" customHeight="1" s="33">
      <c r="A91" s="40" t="inlineStr">
        <is>
          <t>Adafruit KB2040 (RP2040) - spare/bench DAQ</t>
        </is>
      </c>
      <c r="B91" s="41" t="inlineStr">
        <is>
          <t>Adafruit</t>
        </is>
      </c>
      <c r="C91" s="41" t="inlineStr">
        <is>
          <t>PID 5302</t>
        </is>
      </c>
      <c r="D91" s="42" t="inlineStr">
        <is>
          <t>Buy</t>
        </is>
      </c>
      <c r="E91" s="43" t="inlineStr">
        <is>
          <t>FREE w/ order</t>
        </is>
      </c>
      <c r="F91" s="44" t="n">
        <v>1</v>
      </c>
      <c r="G91" s="45" t="n">
        <v>0</v>
      </c>
      <c r="H91" s="45">
        <f>F91*G91</f>
        <v/>
      </c>
    </row>
    <row r="92" ht="15" customHeight="1" s="33">
      <c r="A92" s="40" t="inlineStr">
        <is>
          <t>Digital load cell + HX711, 5 kg (2 sets) - axial Z</t>
        </is>
      </c>
      <c r="B92" s="41" t="inlineStr">
        <is>
          <t>Amazon</t>
        </is>
      </c>
      <c r="C92" s="41" t="inlineStr">
        <is>
          <t>B09K7G3477</t>
        </is>
      </c>
      <c r="D92" s="42" t="inlineStr">
        <is>
          <t>Buy</t>
        </is>
      </c>
      <c r="E92" s="43" t="inlineStr">
        <is>
          <t>in cart</t>
        </is>
      </c>
      <c r="F92" s="44" t="n">
        <v>1</v>
      </c>
      <c r="G92" s="45" t="n">
        <v>9.99</v>
      </c>
      <c r="H92" s="45">
        <f>F92*G92</f>
        <v/>
      </c>
    </row>
    <row r="93" ht="15" customHeight="1" s="33">
      <c r="A93" s="40" t="inlineStr">
        <is>
          <t>UCEC calibration weight set 10 mg-100 g</t>
        </is>
      </c>
      <c r="B93" s="41" t="inlineStr">
        <is>
          <t>Amazon</t>
        </is>
      </c>
      <c r="C93" s="41" t="inlineStr">
        <is>
          <t>B08R8RGCRS</t>
        </is>
      </c>
      <c r="D93" s="42" t="inlineStr">
        <is>
          <t>Buy</t>
        </is>
      </c>
      <c r="E93" s="43" t="inlineStr">
        <is>
          <t>in cart</t>
        </is>
      </c>
      <c r="F93" s="44" t="n">
        <v>1</v>
      </c>
      <c r="G93" s="45" t="n">
        <v>9.99</v>
      </c>
      <c r="H93" s="45">
        <f>F93*G93</f>
        <v/>
      </c>
    </row>
    <row r="94" ht="15" customHeight="1" s="33">
      <c r="A94" s="46" t="inlineStr">
        <is>
          <t>Subtotal</t>
        </is>
      </c>
      <c r="B94" s="47" t="n"/>
      <c r="C94" s="47" t="n"/>
      <c r="D94" s="47" t="n"/>
      <c r="E94" s="47" t="n"/>
      <c r="F94" s="47" t="n"/>
      <c r="G94" s="47" t="n"/>
      <c r="H94" s="48">
        <f>SUM(H88:H93)</f>
        <v/>
      </c>
    </row>
    <row r="95" ht="15" customHeight="1" s="33"/>
    <row r="96">
      <c r="A96" s="49" t="inlineStr">
        <is>
          <t>GROSS TO-BUY TOTAL</t>
        </is>
      </c>
      <c r="B96" s="50" t="n"/>
      <c r="C96" s="50" t="n"/>
      <c r="D96" s="50" t="n"/>
      <c r="E96" s="50" t="n"/>
      <c r="F96" s="50" t="n"/>
      <c r="G96" s="50" t="n"/>
      <c r="H96" s="51">
        <f>H11+H21+H29+H37+H47+H56+H84+H94</f>
        <v/>
      </c>
    </row>
    <row r="97" ht="15" customHeight="1" s="33">
      <c r="A97" s="52" t="inlineStr">
        <is>
          <t>Less: Estes Pro Series II Launch Controller (reimbursed)</t>
        </is>
      </c>
      <c r="H97" s="53">
        <f>-43.99</f>
        <v/>
      </c>
    </row>
    <row r="98" ht="15" customHeight="1" s="33">
      <c r="A98" s="54" t="inlineStr">
        <is>
          <t>NET OUT-OF-POCKET (still to buy)</t>
        </is>
      </c>
      <c r="B98" s="50" t="n"/>
      <c r="C98" s="50" t="n"/>
      <c r="D98" s="50" t="n"/>
      <c r="E98" s="50" t="n"/>
      <c r="F98" s="50" t="n"/>
      <c r="G98" s="50" t="n"/>
      <c r="H98" s="55">
        <f>H96+H97</f>
        <v/>
      </c>
    </row>
    <row r="99" ht="15" customHeight="1" s="33"/>
  </sheetData>
  <hyperlinks>
    <hyperlink xmlns:r="http://schemas.openxmlformats.org/officeDocument/2006/relationships" ref="D6" display="Buy" r:id="rId1"/>
    <hyperlink xmlns:r="http://schemas.openxmlformats.org/officeDocument/2006/relationships" ref="D7" display="Buy" r:id="rId2"/>
    <hyperlink xmlns:r="http://schemas.openxmlformats.org/officeDocument/2006/relationships" ref="D8" display="Buy" r:id="rId3"/>
    <hyperlink xmlns:r="http://schemas.openxmlformats.org/officeDocument/2006/relationships" ref="D9" display="Buy" r:id="rId4"/>
    <hyperlink xmlns:r="http://schemas.openxmlformats.org/officeDocument/2006/relationships" ref="D10" display="Buy" r:id="rId5"/>
    <hyperlink xmlns:r="http://schemas.openxmlformats.org/officeDocument/2006/relationships" ref="D15" display="Buy" r:id="rId6"/>
    <hyperlink xmlns:r="http://schemas.openxmlformats.org/officeDocument/2006/relationships" ref="D16" display="Buy" r:id="rId7"/>
    <hyperlink xmlns:r="http://schemas.openxmlformats.org/officeDocument/2006/relationships" ref="D17" display="Buy" r:id="rId8"/>
    <hyperlink xmlns:r="http://schemas.openxmlformats.org/officeDocument/2006/relationships" ref="D18" display="Buy" r:id="rId9"/>
    <hyperlink xmlns:r="http://schemas.openxmlformats.org/officeDocument/2006/relationships" ref="D19" display="Buy" r:id="rId10"/>
    <hyperlink xmlns:r="http://schemas.openxmlformats.org/officeDocument/2006/relationships" ref="D20" display="Buy" r:id="rId11"/>
    <hyperlink xmlns:r="http://schemas.openxmlformats.org/officeDocument/2006/relationships" ref="D25" display="Buy" r:id="rId12"/>
    <hyperlink xmlns:r="http://schemas.openxmlformats.org/officeDocument/2006/relationships" ref="D26" display="Buy" r:id="rId13"/>
    <hyperlink xmlns:r="http://schemas.openxmlformats.org/officeDocument/2006/relationships" ref="D27" display="Buy" r:id="rId14"/>
    <hyperlink xmlns:r="http://schemas.openxmlformats.org/officeDocument/2006/relationships" ref="D28" display="Buy" r:id="rId15"/>
    <hyperlink xmlns:r="http://schemas.openxmlformats.org/officeDocument/2006/relationships" ref="D33" display="Buy" r:id="rId16"/>
    <hyperlink xmlns:r="http://schemas.openxmlformats.org/officeDocument/2006/relationships" ref="D34" display="Buy" r:id="rId17"/>
    <hyperlink xmlns:r="http://schemas.openxmlformats.org/officeDocument/2006/relationships" ref="D35" display="Buy" r:id="rId18"/>
    <hyperlink xmlns:r="http://schemas.openxmlformats.org/officeDocument/2006/relationships" ref="D41" display="Buy" r:id="rId19"/>
    <hyperlink xmlns:r="http://schemas.openxmlformats.org/officeDocument/2006/relationships" ref="D42" display="Buy" r:id="rId20"/>
    <hyperlink xmlns:r="http://schemas.openxmlformats.org/officeDocument/2006/relationships" ref="D43" display="Buy" r:id="rId21"/>
    <hyperlink xmlns:r="http://schemas.openxmlformats.org/officeDocument/2006/relationships" ref="D44" display="Buy" r:id="rId22"/>
    <hyperlink xmlns:r="http://schemas.openxmlformats.org/officeDocument/2006/relationships" ref="D45" display="Buy" r:id="rId23"/>
    <hyperlink xmlns:r="http://schemas.openxmlformats.org/officeDocument/2006/relationships" ref="D46" display="Buy" r:id="rId24"/>
    <hyperlink xmlns:r="http://schemas.openxmlformats.org/officeDocument/2006/relationships" ref="D51" display="Buy" r:id="rId25"/>
    <hyperlink xmlns:r="http://schemas.openxmlformats.org/officeDocument/2006/relationships" ref="D52" display="Buy" r:id="rId26"/>
    <hyperlink xmlns:r="http://schemas.openxmlformats.org/officeDocument/2006/relationships" ref="D53" display="Buy" r:id="rId27"/>
    <hyperlink xmlns:r="http://schemas.openxmlformats.org/officeDocument/2006/relationships" ref="D54" display="Buy" r:id="rId28"/>
    <hyperlink xmlns:r="http://schemas.openxmlformats.org/officeDocument/2006/relationships" ref="D55" display="Buy" r:id="rId29"/>
    <hyperlink xmlns:r="http://schemas.openxmlformats.org/officeDocument/2006/relationships" ref="D60" display="Buy" r:id="rId30"/>
    <hyperlink xmlns:r="http://schemas.openxmlformats.org/officeDocument/2006/relationships" ref="D61" display="Buy" r:id="rId31"/>
    <hyperlink xmlns:r="http://schemas.openxmlformats.org/officeDocument/2006/relationships" ref="D62" display="Buy" r:id="rId32"/>
    <hyperlink xmlns:r="http://schemas.openxmlformats.org/officeDocument/2006/relationships" ref="D63" display="Buy" r:id="rId33"/>
    <hyperlink xmlns:r="http://schemas.openxmlformats.org/officeDocument/2006/relationships" ref="D64" display="Buy" r:id="rId34"/>
    <hyperlink xmlns:r="http://schemas.openxmlformats.org/officeDocument/2006/relationships" ref="D65" display="Buy" r:id="rId35"/>
    <hyperlink xmlns:r="http://schemas.openxmlformats.org/officeDocument/2006/relationships" ref="D66" display="Buy" r:id="rId36"/>
    <hyperlink xmlns:r="http://schemas.openxmlformats.org/officeDocument/2006/relationships" ref="D67" display="Buy" r:id="rId37"/>
    <hyperlink xmlns:r="http://schemas.openxmlformats.org/officeDocument/2006/relationships" ref="D68" display="Buy" r:id="rId38"/>
    <hyperlink xmlns:r="http://schemas.openxmlformats.org/officeDocument/2006/relationships" ref="D69" display="Buy" r:id="rId39"/>
    <hyperlink xmlns:r="http://schemas.openxmlformats.org/officeDocument/2006/relationships" ref="D70" display="Buy" r:id="rId40"/>
    <hyperlink xmlns:r="http://schemas.openxmlformats.org/officeDocument/2006/relationships" ref="D71" display="Buy" r:id="rId41"/>
    <hyperlink xmlns:r="http://schemas.openxmlformats.org/officeDocument/2006/relationships" ref="D72" display="Buy" r:id="rId42"/>
    <hyperlink xmlns:r="http://schemas.openxmlformats.org/officeDocument/2006/relationships" ref="D77" display="Buy" r:id="rId43"/>
    <hyperlink xmlns:r="http://schemas.openxmlformats.org/officeDocument/2006/relationships" ref="D78" display="Buy" r:id="rId44"/>
    <hyperlink xmlns:r="http://schemas.openxmlformats.org/officeDocument/2006/relationships" ref="D79" display="Buy" r:id="rId45"/>
    <hyperlink xmlns:r="http://schemas.openxmlformats.org/officeDocument/2006/relationships" ref="D80" display="Buy" r:id="rId46"/>
    <hyperlink xmlns:r="http://schemas.openxmlformats.org/officeDocument/2006/relationships" ref="D81" display="Buy" r:id="rId47"/>
    <hyperlink xmlns:r="http://schemas.openxmlformats.org/officeDocument/2006/relationships" ref="D82" display="Buy" r:id="rId48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0" customWidth="1" style="32" min="1" max="1"/>
    <col width="13" customWidth="1" style="32" min="2" max="2"/>
    <col width="24" customWidth="1" style="32" min="3" max="3"/>
    <col width="8" customWidth="1" style="32" min="4" max="4"/>
    <col width="30" customWidth="1" style="32" min="5" max="5"/>
    <col width="6" customWidth="1" style="32" min="6" max="6"/>
    <col width="10" customWidth="1" style="32" min="7" max="8"/>
  </cols>
  <sheetData>
    <row r="1" ht="16.15" customHeight="1" s="33">
      <c r="A1" s="56" t="inlineStr">
        <is>
          <t>Already Acquired (in master BOM, excluded from to-buy)</t>
        </is>
      </c>
    </row>
    <row r="3" ht="15" customHeight="1" s="33">
      <c r="A3" s="38" t="inlineStr">
        <is>
          <t>Item</t>
        </is>
      </c>
      <c r="B3" s="38" t="inlineStr">
        <is>
          <t>Storefront</t>
        </is>
      </c>
      <c r="C3" s="38" t="inlineStr">
        <is>
          <t>Part # / Spec</t>
        </is>
      </c>
      <c r="D3" s="38" t="inlineStr">
        <is>
          <t>Link</t>
        </is>
      </c>
      <c r="E3" s="38" t="inlineStr">
        <is>
          <t>Note</t>
        </is>
      </c>
      <c r="F3" s="39" t="inlineStr">
        <is>
          <t>Qty</t>
        </is>
      </c>
      <c r="G3" s="39" t="inlineStr">
        <is>
          <t>Paid ea ($)</t>
        </is>
      </c>
      <c r="H3" s="39" t="inlineStr">
        <is>
          <t>Line ($)</t>
        </is>
      </c>
    </row>
    <row r="4" ht="15" customHeight="1" s="33">
      <c r="A4" s="40" t="inlineStr">
        <is>
          <t>Bambu Black PETG-CF (materials-test coupons) - 2 kg</t>
        </is>
      </c>
      <c r="B4" s="41" t="inlineStr">
        <is>
          <t>Bambu Lab</t>
        </is>
      </c>
      <c r="C4" s="41" t="inlineStr">
        <is>
          <t>PETG-CF</t>
        </is>
      </c>
      <c r="D4" s="42" t="inlineStr">
        <is>
          <t>Link</t>
        </is>
      </c>
      <c r="E4" s="43" t="n"/>
      <c r="F4" s="44" t="n">
        <v>2</v>
      </c>
      <c r="G4" s="45" t="n">
        <v>12.795</v>
      </c>
      <c r="H4" s="45">
        <f>F4*G4</f>
        <v/>
      </c>
    </row>
    <row r="5" ht="15" customHeight="1" s="33">
      <c r="A5" s="40" t="inlineStr">
        <is>
          <t>Bambu White PLA - 1 kg</t>
        </is>
      </c>
      <c r="B5" s="41" t="inlineStr">
        <is>
          <t>Bambu Lab</t>
        </is>
      </c>
      <c r="C5" s="41" t="inlineStr">
        <is>
          <t>PLA</t>
        </is>
      </c>
      <c r="D5" s="42" t="inlineStr">
        <is>
          <t>Link</t>
        </is>
      </c>
      <c r="E5" s="43" t="n"/>
      <c r="F5" s="44" t="n">
        <v>1</v>
      </c>
      <c r="G5" s="45" t="n">
        <v>19.99</v>
      </c>
      <c r="H5" s="45">
        <f>F5*G5</f>
        <v/>
      </c>
    </row>
    <row r="6" ht="15" customHeight="1" s="33">
      <c r="A6" s="40" t="inlineStr">
        <is>
          <t>Bambu Black PLA - 1 kg</t>
        </is>
      </c>
      <c r="B6" s="41" t="inlineStr">
        <is>
          <t>Bambu Lab</t>
        </is>
      </c>
      <c r="C6" s="41" t="inlineStr">
        <is>
          <t>PLA</t>
        </is>
      </c>
      <c r="D6" s="42" t="inlineStr">
        <is>
          <t>Link</t>
        </is>
      </c>
      <c r="E6" s="43" t="n"/>
      <c r="F6" s="44" t="n">
        <v>1</v>
      </c>
      <c r="G6" s="45" t="n">
        <v>19.99</v>
      </c>
      <c r="H6" s="45">
        <f>F6*G6</f>
        <v/>
      </c>
    </row>
    <row r="7" ht="23.85" customHeight="1" s="33">
      <c r="A7" s="40" t="inlineStr">
        <is>
          <t>TOMSHIELE 25x11 mm 12 V electromagnet (5 kg) - magnetic TVC (RQ1)</t>
        </is>
      </c>
      <c r="B7" s="41" t="inlineStr">
        <is>
          <t>Amazon</t>
        </is>
      </c>
      <c r="C7" s="41" t="inlineStr">
        <is>
          <t>TOMSHIELE 25x11 12V</t>
        </is>
      </c>
      <c r="D7" s="42" t="inlineStr">
        <is>
          <t>Link</t>
        </is>
      </c>
      <c r="E7" s="43" t="inlineStr">
        <is>
          <t>uxcell same spec if OOS</t>
        </is>
      </c>
      <c r="F7" s="44" t="n">
        <v>3</v>
      </c>
      <c r="G7" s="45" t="n">
        <v>9</v>
      </c>
      <c r="H7" s="45">
        <f>F7*G7</f>
        <v/>
      </c>
    </row>
    <row r="8" ht="15" customHeight="1" s="33">
      <c r="A8" s="40" t="inlineStr">
        <is>
          <t>Neodymium disc magnet 30 mm x 3 mm N52 - magnetic TVC</t>
        </is>
      </c>
      <c r="B8" s="41" t="inlineStr">
        <is>
          <t>Amazon</t>
        </is>
      </c>
      <c r="C8" s="41" t="inlineStr">
        <is>
          <t>30x3 N52</t>
        </is>
      </c>
      <c r="D8" s="42" t="inlineStr">
        <is>
          <t>Link</t>
        </is>
      </c>
      <c r="E8" s="43" t="inlineStr">
        <is>
          <t>CMS/DIYMAG</t>
        </is>
      </c>
      <c r="F8" s="44" t="n">
        <v>1</v>
      </c>
      <c r="G8" s="45" t="n">
        <v>25</v>
      </c>
      <c r="H8" s="45">
        <f>F8*G8</f>
        <v/>
      </c>
    </row>
    <row r="9" ht="15" customHeight="1" s="33">
      <c r="A9" s="40" t="inlineStr">
        <is>
          <t>IRF520 MOSFET (pack of 10) - solenoid driver</t>
        </is>
      </c>
      <c r="B9" s="41" t="inlineStr">
        <is>
          <t>Amazon</t>
        </is>
      </c>
      <c r="C9" s="41" t="inlineStr">
        <is>
          <t>IRF520 (10pk)</t>
        </is>
      </c>
      <c r="D9" s="42" t="inlineStr">
        <is>
          <t>Link</t>
        </is>
      </c>
      <c r="E9" s="43" t="n"/>
      <c r="F9" s="44" t="n">
        <v>1</v>
      </c>
      <c r="G9" s="45" t="n">
        <v>7</v>
      </c>
      <c r="H9" s="45">
        <f>F9*G9</f>
        <v/>
      </c>
    </row>
    <row r="10" ht="15" customHeight="1" s="33">
      <c r="A10" s="40" t="inlineStr">
        <is>
          <t>1N4007 flyback diode (pack of 100) - solenoid driver</t>
        </is>
      </c>
      <c r="B10" s="41" t="inlineStr">
        <is>
          <t>Amazon</t>
        </is>
      </c>
      <c r="C10" s="41" t="inlineStr">
        <is>
          <t>1N4007 (100pk)</t>
        </is>
      </c>
      <c r="D10" s="42" t="inlineStr">
        <is>
          <t>Link</t>
        </is>
      </c>
      <c r="E10" s="43" t="n"/>
      <c r="F10" s="44" t="n">
        <v>1</v>
      </c>
      <c r="G10" s="45" t="n">
        <v>6</v>
      </c>
      <c r="H10" s="45">
        <f>F10*G10</f>
        <v/>
      </c>
    </row>
    <row r="11" ht="15" customHeight="1" s="33">
      <c r="A11" s="40" t="inlineStr">
        <is>
          <t>Arduino Nano - solenoid-rig bench DAQ</t>
        </is>
      </c>
      <c r="B11" s="41" t="inlineStr">
        <is>
          <t>Amazon</t>
        </is>
      </c>
      <c r="C11" s="41" t="inlineStr">
        <is>
          <t>Nano (clone OK)</t>
        </is>
      </c>
      <c r="D11" s="42" t="inlineStr">
        <is>
          <t>Link</t>
        </is>
      </c>
      <c r="E11" s="43" t="inlineStr">
        <is>
          <t>bench testing</t>
        </is>
      </c>
      <c r="F11" s="44" t="n">
        <v>1</v>
      </c>
      <c r="G11" s="45" t="n">
        <v>16</v>
      </c>
      <c r="H11" s="45">
        <f>F11*G11</f>
        <v/>
      </c>
    </row>
    <row r="12" ht="15" customHeight="1" s="33">
      <c r="A12" s="40" t="inlineStr">
        <is>
          <t>12 V 2 A wall adapter (5.5x2.1 mm barrel) - solenoid rig</t>
        </is>
      </c>
      <c r="B12" s="41" t="inlineStr">
        <is>
          <t>Amazon</t>
        </is>
      </c>
      <c r="C12" s="41" t="inlineStr">
        <is>
          <t>12V 2A PSU</t>
        </is>
      </c>
      <c r="D12" s="42" t="inlineStr">
        <is>
          <t>Link</t>
        </is>
      </c>
      <c r="E12" s="43" t="n"/>
      <c r="F12" s="44" t="n">
        <v>1</v>
      </c>
      <c r="G12" s="45" t="n">
        <v>12</v>
      </c>
      <c r="H12" s="45">
        <f>F12*G12</f>
        <v/>
      </c>
    </row>
    <row r="13" ht="15" customHeight="1" s="33">
      <c r="A13" s="40" t="inlineStr">
        <is>
          <t>Breadboard + jumper wires (M-M / M-F / F-F)</t>
        </is>
      </c>
      <c r="B13" s="41" t="inlineStr">
        <is>
          <t>Amazon</t>
        </is>
      </c>
      <c r="C13" s="41" t="inlineStr">
        <is>
          <t>breadboard+jumpers</t>
        </is>
      </c>
      <c r="D13" s="42" t="inlineStr">
        <is>
          <t>Link</t>
        </is>
      </c>
      <c r="E13" s="43" t="n"/>
      <c r="F13" s="44" t="n">
        <v>1</v>
      </c>
      <c r="G13" s="45" t="n">
        <v>15</v>
      </c>
      <c r="H13" s="45">
        <f>F13*G13</f>
        <v/>
      </c>
    </row>
    <row r="14" ht="15" customHeight="1" s="33">
      <c r="A14" s="40" t="inlineStr">
        <is>
          <t>J-B Weld Original twin-tube epoxy</t>
        </is>
      </c>
      <c r="B14" s="41" t="inlineStr">
        <is>
          <t>Amazon</t>
        </is>
      </c>
      <c r="C14" s="41" t="inlineStr">
        <is>
          <t>J-B Weld Original</t>
        </is>
      </c>
      <c r="D14" s="42" t="inlineStr">
        <is>
          <t>Link</t>
        </is>
      </c>
      <c r="E14" s="43" t="inlineStr">
        <is>
          <t>NOT KwikWeld</t>
        </is>
      </c>
      <c r="F14" s="44" t="n">
        <v>1</v>
      </c>
      <c r="G14" s="45" t="n">
        <v>21</v>
      </c>
      <c r="H14" s="45">
        <f>F14*G14</f>
        <v/>
      </c>
    </row>
    <row r="15" ht="15" customHeight="1" s="33">
      <c r="A15" s="40" t="inlineStr">
        <is>
          <t>Super Lube 21030 PTFE grease (ball/socket lube)</t>
        </is>
      </c>
      <c r="B15" s="41" t="inlineStr">
        <is>
          <t>Amazon</t>
        </is>
      </c>
      <c r="C15" s="41" t="inlineStr">
        <is>
          <t>Super Lube 21030</t>
        </is>
      </c>
      <c r="D15" s="42" t="inlineStr">
        <is>
          <t>Link</t>
        </is>
      </c>
      <c r="E15" s="43" t="n"/>
      <c r="F15" s="44" t="n">
        <v>1</v>
      </c>
      <c r="G15" s="45" t="n">
        <v>11</v>
      </c>
      <c r="H15" s="45">
        <f>F15*G15</f>
        <v/>
      </c>
    </row>
    <row r="16" ht="15" customHeight="1" s="33">
      <c r="A16" s="40" t="inlineStr">
        <is>
          <t>uni USB-C microSD card reader</t>
        </is>
      </c>
      <c r="B16" s="41" t="inlineStr">
        <is>
          <t>Amazon</t>
        </is>
      </c>
      <c r="C16" s="41" t="inlineStr">
        <is>
          <t>USB-C SD reader</t>
        </is>
      </c>
      <c r="D16" s="42" t="inlineStr">
        <is>
          <t>Link</t>
        </is>
      </c>
      <c r="E16" s="43" t="inlineStr">
        <is>
          <t>price est.</t>
        </is>
      </c>
      <c r="F16" s="44" t="n">
        <v>1</v>
      </c>
      <c r="G16" s="45" t="n">
        <v>10</v>
      </c>
      <c r="H16" s="45">
        <f>F16*G16</f>
        <v/>
      </c>
    </row>
    <row r="17" ht="15" customHeight="1" s="33">
      <c r="A17" s="40" t="inlineStr">
        <is>
          <t>32 GB microSD card (flight log + video)</t>
        </is>
      </c>
      <c r="B17" s="41" t="inlineStr">
        <is>
          <t>Amazon</t>
        </is>
      </c>
      <c r="C17" s="41" t="inlineStr">
        <is>
          <t>microSD 32GB</t>
        </is>
      </c>
      <c r="D17" s="42" t="inlineStr">
        <is>
          <t>Link</t>
        </is>
      </c>
      <c r="E17" s="43" t="inlineStr">
        <is>
          <t>price est.</t>
        </is>
      </c>
      <c r="F17" s="44" t="n">
        <v>2</v>
      </c>
      <c r="G17" s="45" t="n">
        <v>9</v>
      </c>
      <c r="H17" s="45">
        <f>F17*G17</f>
        <v/>
      </c>
    </row>
    <row r="18" ht="15" customHeight="1" s="33">
      <c r="A18" s="40" t="inlineStr">
        <is>
          <t>Adafruit BME688 temp/humidity/pressure/gas (STEMMA QT)</t>
        </is>
      </c>
      <c r="B18" s="41" t="inlineStr">
        <is>
          <t>Adafruit</t>
        </is>
      </c>
      <c r="C18" s="41" t="inlineStr">
        <is>
          <t>PID 5046</t>
        </is>
      </c>
      <c r="D18" s="42" t="inlineStr">
        <is>
          <t>Link</t>
        </is>
      </c>
      <c r="E18" s="43" t="inlineStr">
        <is>
          <t>price est.</t>
        </is>
      </c>
      <c r="F18" s="44" t="n">
        <v>2</v>
      </c>
      <c r="G18" s="45" t="n">
        <v>22.5</v>
      </c>
      <c r="H18" s="45">
        <f>F18*G18</f>
        <v/>
      </c>
    </row>
    <row r="19" ht="15" customHeight="1" s="33">
      <c r="A19" s="40" t="inlineStr">
        <is>
          <t>Mechatronics MS1238E12B1-6-FHR 120 mm high-static fan</t>
        </is>
      </c>
      <c r="B19" s="41" t="inlineStr">
        <is>
          <t>DigiKey</t>
        </is>
      </c>
      <c r="C19" s="41" t="inlineStr">
        <is>
          <t>MS1238E12B1-6-FHR</t>
        </is>
      </c>
      <c r="D19" s="42" t="inlineStr">
        <is>
          <t>Link</t>
        </is>
      </c>
      <c r="E19" s="43" t="inlineStr">
        <is>
          <t>price est.</t>
        </is>
      </c>
      <c r="F19" s="44" t="n">
        <v>1</v>
      </c>
      <c r="G19" s="45" t="n">
        <v>40</v>
      </c>
      <c r="H19" s="45">
        <f>F19*G19</f>
        <v/>
      </c>
    </row>
    <row r="20" ht="23.85" customHeight="1" s="33">
      <c r="A20" s="40" t="inlineStr">
        <is>
          <t>Neodymium magnet, mag-through-diameter, 1/8 in x 3/16 in OD</t>
        </is>
      </c>
      <c r="B20" s="41" t="inlineStr">
        <is>
          <t>McMaster-Carr</t>
        </is>
      </c>
      <c r="C20" s="41" t="inlineStr">
        <is>
          <t>5862K415</t>
        </is>
      </c>
      <c r="D20" s="42" t="inlineStr">
        <is>
          <t>Link</t>
        </is>
      </c>
      <c r="E20" s="43" t="inlineStr">
        <is>
          <t>magnetic TVC</t>
        </is>
      </c>
      <c r="F20" s="44" t="n">
        <v>4</v>
      </c>
      <c r="G20" s="45" t="n">
        <v>1.6</v>
      </c>
      <c r="H20" s="45">
        <f>F20*G20</f>
        <v/>
      </c>
    </row>
    <row r="21" ht="23.85" customHeight="1" s="33">
      <c r="A21" s="40" t="inlineStr">
        <is>
          <t>AIRTAK suction electromagnet 30x22 mm DC12V 100N (10 kg)</t>
        </is>
      </c>
      <c r="B21" s="41" t="inlineStr">
        <is>
          <t>Amazon</t>
        </is>
      </c>
      <c r="C21" s="41" t="inlineStr">
        <is>
          <t>AIRTAK 30x22 12V</t>
        </is>
      </c>
      <c r="D21" s="42" t="inlineStr">
        <is>
          <t>Link</t>
        </is>
      </c>
      <c r="E21" s="43" t="inlineStr">
        <is>
          <t>alt electromagnet</t>
        </is>
      </c>
      <c r="F21" s="44" t="n">
        <v>3</v>
      </c>
      <c r="G21" s="45" t="n">
        <v>11.6</v>
      </c>
      <c r="H21" s="45">
        <f>F21*G21</f>
        <v/>
      </c>
    </row>
    <row r="22" ht="23.85" customHeight="1" s="33">
      <c r="A22" s="40" t="inlineStr">
        <is>
          <t>MECCANIXITY 301 SS foil roll 0.1 x 20 mm x 1 m (shim stock)</t>
        </is>
      </c>
      <c r="B22" s="41" t="inlineStr">
        <is>
          <t>Amazon</t>
        </is>
      </c>
      <c r="C22" s="41" t="inlineStr">
        <is>
          <t>301 SS foil</t>
        </is>
      </c>
      <c r="D22" s="42" t="inlineStr">
        <is>
          <t>Link</t>
        </is>
      </c>
      <c r="E22" s="43" t="inlineStr">
        <is>
          <t>flexure/shim</t>
        </is>
      </c>
      <c r="F22" s="44" t="n">
        <v>1</v>
      </c>
      <c r="G22" s="45" t="n">
        <v>9</v>
      </c>
      <c r="H22" s="45">
        <f>F22*G22</f>
        <v/>
      </c>
    </row>
    <row r="23" ht="23.85" customHeight="1" s="33">
      <c r="A23" s="40" t="inlineStr">
        <is>
          <t>Adafruit TMAG5273 (A1) 3D Hall-effect magnetometer (STEMMA QT)</t>
        </is>
      </c>
      <c r="B23" s="41" t="inlineStr">
        <is>
          <t>Adafruit</t>
        </is>
      </c>
      <c r="C23" s="41" t="inlineStr">
        <is>
          <t>PID 6489</t>
        </is>
      </c>
      <c r="D23" s="42" t="inlineStr">
        <is>
          <t>Link</t>
        </is>
      </c>
      <c r="E23" s="43" t="inlineStr">
        <is>
          <t>magnetic-gimbal position sensing</t>
        </is>
      </c>
      <c r="F23" s="44" t="n">
        <v>1</v>
      </c>
      <c r="G23" s="45" t="n">
        <v>6</v>
      </c>
      <c r="H23" s="45">
        <f>F23*G23</f>
        <v/>
      </c>
    </row>
    <row r="24" ht="23.85" customHeight="1" s="33">
      <c r="A24" s="40" t="inlineStr">
        <is>
          <t>Adafruit VL53L4CD Time-of-Flight sensor (owned; removed from design)</t>
        </is>
      </c>
      <c r="B24" s="41" t="inlineStr">
        <is>
          <t>Adafruit</t>
        </is>
      </c>
      <c r="C24" s="41" t="inlineStr">
        <is>
          <t>PID 5396</t>
        </is>
      </c>
      <c r="D24" s="42" t="inlineStr">
        <is>
          <t>Link</t>
        </is>
      </c>
      <c r="E24" s="43" t="inlineStr">
        <is>
          <t>not used in design</t>
        </is>
      </c>
      <c r="F24" s="44" t="n">
        <v>6</v>
      </c>
      <c r="G24" s="45" t="n">
        <v>15</v>
      </c>
      <c r="H24" s="45">
        <f>F24*G24</f>
        <v/>
      </c>
    </row>
    <row r="25" ht="15" customHeight="1" s="33">
      <c r="A25" s="40" t="inlineStr">
        <is>
          <t>Adafruit PCA9548 8-ch I2C multiplexer</t>
        </is>
      </c>
      <c r="B25" s="41" t="inlineStr">
        <is>
          <t>Adafruit</t>
        </is>
      </c>
      <c r="C25" s="41" t="inlineStr">
        <is>
          <t>PID 5626</t>
        </is>
      </c>
      <c r="D25" s="42" t="inlineStr">
        <is>
          <t>Link</t>
        </is>
      </c>
      <c r="E25" s="43" t="inlineStr">
        <is>
          <t>owned - kept in Acquired</t>
        </is>
      </c>
      <c r="F25" s="44" t="n">
        <v>1</v>
      </c>
      <c r="G25" s="45" t="n">
        <v>7</v>
      </c>
      <c r="H25" s="45">
        <f>F25*G25</f>
        <v/>
      </c>
    </row>
    <row r="26" ht="15" customHeight="1" s="33">
      <c r="A26" s="40" t="inlineStr">
        <is>
          <t>STEMMA QT JST-SH 4-pin cable, 300 mm</t>
        </is>
      </c>
      <c r="B26" s="41" t="inlineStr">
        <is>
          <t>Adafruit</t>
        </is>
      </c>
      <c r="C26" s="41" t="inlineStr">
        <is>
          <t>PID 5384</t>
        </is>
      </c>
      <c r="D26" s="42" t="inlineStr">
        <is>
          <t>Link</t>
        </is>
      </c>
      <c r="E26" s="43" t="inlineStr">
        <is>
          <t>owned - kept in Acquired</t>
        </is>
      </c>
      <c r="F26" s="44" t="n">
        <v>6</v>
      </c>
      <c r="G26" s="45" t="n">
        <v>1.25</v>
      </c>
      <c r="H26" s="45">
        <f>F26*G26</f>
        <v/>
      </c>
    </row>
    <row r="27" ht="15" customHeight="1" s="33">
      <c r="A27" s="57" t="inlineStr">
        <is>
          <t>Total already paid</t>
        </is>
      </c>
      <c r="B27" s="58" t="n"/>
      <c r="C27" s="58" t="n"/>
      <c r="D27" s="58" t="n"/>
      <c r="E27" s="58" t="n"/>
      <c r="F27" s="58" t="n"/>
      <c r="G27" s="58" t="n"/>
      <c r="H27" s="59">
        <f>SUM(H4:H26)</f>
        <v/>
      </c>
    </row>
  </sheetData>
  <hyperlinks>
    <hyperlink xmlns:r="http://schemas.openxmlformats.org/officeDocument/2006/relationships" ref="D4" display="Link" r:id="rId1"/>
    <hyperlink xmlns:r="http://schemas.openxmlformats.org/officeDocument/2006/relationships" ref="D5" display="Link" r:id="rId2"/>
    <hyperlink xmlns:r="http://schemas.openxmlformats.org/officeDocument/2006/relationships" ref="D6" display="Link" r:id="rId3"/>
    <hyperlink xmlns:r="http://schemas.openxmlformats.org/officeDocument/2006/relationships" ref="D7" display="Link" r:id="rId4"/>
    <hyperlink xmlns:r="http://schemas.openxmlformats.org/officeDocument/2006/relationships" ref="D8" display="Link" r:id="rId5"/>
    <hyperlink xmlns:r="http://schemas.openxmlformats.org/officeDocument/2006/relationships" ref="D9" display="Link" r:id="rId6"/>
    <hyperlink xmlns:r="http://schemas.openxmlformats.org/officeDocument/2006/relationships" ref="D10" display="Link" r:id="rId7"/>
    <hyperlink xmlns:r="http://schemas.openxmlformats.org/officeDocument/2006/relationships" ref="D11" display="Link" r:id="rId8"/>
    <hyperlink xmlns:r="http://schemas.openxmlformats.org/officeDocument/2006/relationships" ref="D12" display="Link" r:id="rId9"/>
    <hyperlink xmlns:r="http://schemas.openxmlformats.org/officeDocument/2006/relationships" ref="D13" display="Link" r:id="rId10"/>
    <hyperlink xmlns:r="http://schemas.openxmlformats.org/officeDocument/2006/relationships" ref="D14" display="Link" r:id="rId11"/>
    <hyperlink xmlns:r="http://schemas.openxmlformats.org/officeDocument/2006/relationships" ref="D15" display="Link" r:id="rId12"/>
    <hyperlink xmlns:r="http://schemas.openxmlformats.org/officeDocument/2006/relationships" ref="D16" display="Link" r:id="rId13"/>
    <hyperlink xmlns:r="http://schemas.openxmlformats.org/officeDocument/2006/relationships" ref="D17" display="Link" r:id="rId14"/>
    <hyperlink xmlns:r="http://schemas.openxmlformats.org/officeDocument/2006/relationships" ref="D18" display="Link" r:id="rId15"/>
    <hyperlink xmlns:r="http://schemas.openxmlformats.org/officeDocument/2006/relationships" ref="D19" display="Link" r:id="rId16"/>
    <hyperlink xmlns:r="http://schemas.openxmlformats.org/officeDocument/2006/relationships" ref="D20" display="Link" r:id="rId17"/>
    <hyperlink xmlns:r="http://schemas.openxmlformats.org/officeDocument/2006/relationships" ref="D21" display="Link" r:id="rId18"/>
    <hyperlink xmlns:r="http://schemas.openxmlformats.org/officeDocument/2006/relationships" ref="D22" display="Link" r:id="rId19"/>
    <hyperlink xmlns:r="http://schemas.openxmlformats.org/officeDocument/2006/relationships" ref="D23" display="Link" r:id="rId20"/>
    <hyperlink xmlns:r="http://schemas.openxmlformats.org/officeDocument/2006/relationships" ref="D24" display="Link" r:id="rId21"/>
    <hyperlink xmlns:r="http://schemas.openxmlformats.org/officeDocument/2006/relationships" ref="D25" display="Link" r:id="rId22"/>
    <hyperlink xmlns:r="http://schemas.openxmlformats.org/officeDocument/2006/relationships" ref="D26" display="Link" r:id="rId2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6" customWidth="1" style="32" min="1" max="1"/>
    <col width="14" customWidth="1" style="32" min="2" max="2"/>
  </cols>
  <sheetData>
    <row r="1" ht="16.15" customHeight="1" s="33">
      <c r="A1" s="56" t="inlineStr">
        <is>
          <t>WYVERN-E - BOM Summary</t>
        </is>
      </c>
    </row>
    <row r="2"/>
    <row r="3" ht="15" customHeight="1" s="33">
      <c r="A3" s="52" t="inlineStr">
        <is>
          <t>1. Flight Computer &amp; Sensors</t>
        </is>
      </c>
      <c r="B3" s="60">
        <f>BOM!H11</f>
        <v/>
      </c>
    </row>
    <row r="4" ht="15" customHeight="1" s="33">
      <c r="A4" s="52" t="inlineStr">
        <is>
          <t>2. Power (2S LiPo + UBEC) - kept per design, not in this Amazon cart</t>
        </is>
      </c>
      <c r="B4" s="60">
        <f>BOM!H21</f>
        <v/>
      </c>
    </row>
    <row r="5" ht="15" customHeight="1" s="33">
      <c r="A5" s="52" t="inlineStr">
        <is>
          <t>3. TVC - flight (servo, 2-axis gimbal)</t>
        </is>
      </c>
      <c r="B5" s="60">
        <f>BOM!H29</f>
        <v/>
      </c>
    </row>
    <row r="6" ht="15" customHeight="1" s="33">
      <c r="A6" s="52" t="inlineStr">
        <is>
          <t>4. Recovery (motor ejection via bypass tube)</t>
        </is>
      </c>
      <c r="B6" s="60">
        <f>BOM!H37</f>
        <v/>
      </c>
    </row>
    <row r="7" ht="15" customHeight="1" s="33">
      <c r="A7" s="52" t="inlineStr">
        <is>
          <t>5. Propulsion (Estes motors + launch system)</t>
        </is>
      </c>
      <c r="B7" s="60">
        <f>BOM!H47</f>
        <v/>
      </c>
    </row>
    <row r="8" ht="15" customHeight="1" s="33">
      <c r="A8" s="52" t="inlineStr">
        <is>
          <t>6. Airframe filament (PLA primary + PETG-CF owned)</t>
        </is>
      </c>
      <c r="B8" s="60">
        <f>BOM!H56</f>
        <v/>
      </c>
    </row>
    <row r="9" ht="15" customHeight="1" s="33">
      <c r="A9" s="52" t="inlineStr">
        <is>
          <t>7. Harness, connectors, prototyping &amp; assembly</t>
        </is>
      </c>
      <c r="B9" s="60">
        <f>BOM!H84</f>
        <v/>
      </c>
    </row>
    <row r="10" ht="15" customHeight="1" s="33">
      <c r="A10" s="52" t="inlineStr">
        <is>
          <t>8. Ground test - TVC balance + static stand (load cells + DAQ)</t>
        </is>
      </c>
      <c r="B10" s="60">
        <f>BOM!H94</f>
        <v/>
      </c>
    </row>
    <row r="11" ht="15" customHeight="1" s="33"/>
    <row r="12">
      <c r="A12" s="61" t="inlineStr">
        <is>
          <t>Gross to-buy total</t>
        </is>
      </c>
      <c r="B12" s="62">
        <f>BOM!H96</f>
        <v/>
      </c>
    </row>
    <row r="13" ht="15" customHeight="1" s="33">
      <c r="A13" s="52" t="inlineStr">
        <is>
          <t>Less: reimbursed (launch controller)</t>
        </is>
      </c>
      <c r="B13" s="53">
        <f>-43.99</f>
        <v/>
      </c>
    </row>
    <row r="14" ht="15" customHeight="1" s="33">
      <c r="A14" s="63" t="inlineStr">
        <is>
          <t>NET OUT-OF-POCKET (still to buy)</t>
        </is>
      </c>
      <c r="B14" s="64">
        <f>BOM!H98</f>
        <v/>
      </c>
    </row>
    <row r="15" ht="15" customHeight="1" s="33"/>
    <row r="16">
      <c r="A16" s="61" t="inlineStr">
        <is>
          <t>Already acquired (owned, not in to-buy)</t>
        </is>
      </c>
      <c r="B16" s="62">
        <f>'Already Acquired'!H27</f>
        <v/>
      </c>
    </row>
    <row r="17" ht="15" customHeight="1" s="33">
      <c r="A17" s="52" t="inlineStr">
        <is>
          <t>Total program spend (net to-buy + already acquired)</t>
        </is>
      </c>
      <c r="B17" s="60">
        <f>B14+B16</f>
        <v/>
      </c>
    </row>
    <row r="18" ht="15" customHeight="1" s="3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2026-07-15T12:23:23Z</dcterms:created>
  <dcterms:modified xmlns:dcterms="http://purl.org/dc/terms/" xmlns:xsi="http://www.w3.org/2001/XMLSchema-instance" xsi:type="dcterms:W3CDTF">2026-08-02T03:39:19Z</dcterms:modified>
  <cp:revision>0</cp:revision>
</cp:coreProperties>
</file>