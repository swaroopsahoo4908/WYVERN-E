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<sst xmlns="http://schemas.openxmlformats.org/spreadsheetml/2006/main" count="630" uniqueCount="300">
  <si>
    <t xml:space="preserve">WYVERN-E - Master Bill of Materials</t>
  </si>
  <si>
    <t xml:space="preserve">2026-08-09: BOM to-buy total now reflects ONLY items in the 3 live carts (Amazon $252.93, Adafruit $95.10, Estes $325.01) plus the $175 custom PCB - everything else zeroed from cost (kept as line items, flagged "NOT IN CURRENT CART") except airframe filament (Section 6), which is kept per explicit exception. ⚠ This includes the F15-4 flight motor (row 41) and E16-4 commissioning motors (row 43) - zeroed from cost because they are not in these carts, not because they are unneeded.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</si>
  <si>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</si>
  <si>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</si>
  <si>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</si>
  <si>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</si>
  <si>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</si>
  <si>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</si>
  <si>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</si>
  <si>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</si>
  <si>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</si>
  <si>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</si>
  <si>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</si>
  <si>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</si>
  <si>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</si>
  <si>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</si>
  <si>
    <t xml:space="preserve">BNO085 9-DOF external IMU (single unit, via PCB's one STEMMA-QT port; mounted at TVC/electronics boundary)</t>
  </si>
  <si>
    <t xml:space="preserve">Adafruit</t>
  </si>
  <si>
    <t xml:space="preserve">PID 4754</t>
  </si>
  <si>
    <t xml:space="preserve">in Adafruit cart (qty2 currently, 1 spare); design needs only 1 - PCB has a single STEMMA-QT port, not 3 IMU buses</t>
  </si>
  <si>
    <t xml:space="preserve">BMP388 precision barometric pressure/altitude sensor</t>
  </si>
  <si>
    <t xml:space="preserve">PID 3966</t>
  </si>
  <si>
    <t xml:space="preserve">NOT IN CURRENT CART (2026-08-09) - zeroed from to-buy total; still needed, purchase separately</t>
  </si>
  <si>
    <t xml:space="preserve">i3 4K Thumb Action Camera (64G card, self-contained ~36 g)</t>
  </si>
  <si>
    <t xml:space="preserve">i3 B0G4PD79FL (32G variant)</t>
  </si>
  <si>
    <t xml:space="preserve">in cart (32G variant, i3 B0G4PD79FL)</t>
  </si>
  <si>
    <t xml:space="preserve">Liaoan USB-A/USB-C 3.0 OTG adapter set (6 pc)</t>
  </si>
  <si>
    <t xml:space="preserve">B0FQBPZPKF</t>
  </si>
  <si>
    <t xml:space="preserve">Subtotal</t>
  </si>
  <si>
    <t xml:space="preserve">2. Power (2S LiPo + UBEC)</t>
  </si>
  <si>
    <t xml:space="preserve">Zeee 2S 7.4 V 450 mAh LiPo (4-pk) - light flight pack</t>
  </si>
  <si>
    <t xml:space="preserve">OVONIC B0D3F5SQ5T</t>
  </si>
  <si>
    <t xml:space="preserve">in cart; 2-pack ~7.6V 450mAh 2S w/ XT30 (replaces Zeee)</t>
  </si>
  <si>
    <t xml:space="preserve">Hobbywing 5 V/6 V 3 A UBEC / BEC (set 5 V -&gt; Pico + servos)</t>
  </si>
  <si>
    <t xml:space="preserve">Hobbywing B008ZNWOYY</t>
  </si>
  <si>
    <t xml:space="preserve">HTRC B3 2S-3S LiPo balance charger</t>
  </si>
  <si>
    <t xml:space="preserve">SSUPCHG B0FPDJP4GK</t>
  </si>
  <si>
    <t xml:space="preserve">in cart; replaces HTRC B3 (superseded)</t>
  </si>
  <si>
    <t xml:space="preserve">Decoupling kit: 1000 uF + 100 uF low-ESR caps + SS34 Schottky</t>
  </si>
  <si>
    <t xml:space="preserve">low-ESR cap + SS34</t>
  </si>
  <si>
    <t xml:space="preserve">100 kohm / 62 kohm 1% resistor pack (GP26 battery ADC divider)</t>
  </si>
  <si>
    <t xml:space="preserve">1% metal-film</t>
  </si>
  <si>
    <t xml:space="preserve">Small slide arming switch (rocket)</t>
  </si>
  <si>
    <t xml:space="preserve">SPDT slide switch</t>
  </si>
  <si>
    <t xml:space="preserve">3. TVC - flight (servo, 2-axis gimbal)</t>
  </si>
  <si>
    <t xml:space="preserve">EMAX ES08MA II metal-gear analog micro servo (4-pack)</t>
  </si>
  <si>
    <t xml:space="preserve">B07KYK9N1G</t>
  </si>
  <si>
    <t xml:space="preserve">Cart reconciliation 2026-08-09e: cart has qty1 (1x 4-pack = 4 servos), not 2 - reduced from qty2. Flight+spare design intent (qty=8) not currently covered by cart; confirm if 2nd pack still needed.</t>
  </si>
  <si>
    <t xml:space="preserve">XIKE MR105-2RS ball bearings (gimbal, 10-pk)</t>
  </si>
  <si>
    <t xml:space="preserve">B09DJY425B</t>
  </si>
  <si>
    <t xml:space="preserve">in cart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</si>
  <si>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</si>
  <si>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</si>
  <si>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</si>
  <si>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</si>
  <si>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- two-body-tube separation at the bulkhead joint)</t>
  </si>
  <si>
    <t xml:space="preserve">Estes 24 in rip-stop nylon parachute (FLIGHT canopy - CHUTE_D=0.6096 m in all sims)</t>
  </si>
  <si>
    <t xml:space="preserve">Estes</t>
  </si>
  <si>
    <t xml:space="preserve">24in chute</t>
  </si>
  <si>
    <t xml:space="preserve">2026-08b: switched 18in-&gt;24in, descent 6.7-&gt;5.0 m/s. Only 1 needed (not 4) - confirmed 2026-08-09.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</si>
  <si>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</si>
  <si>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</si>
  <si>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</si>
  <si>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</si>
  <si>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in cart (qty1) - matches design need exactly, confirmed 2026-08-09</t>
  </si>
  <si>
    <t xml:space="preserve">Separation bulkhead (single, printed PC-FR) - release-force-calibrated joint between Lower BT / Upper BT, no bypass tube</t>
  </si>
  <si>
    <t xml:space="preserve">In-house</t>
  </si>
  <si>
    <t xml:space="preserve">PC-FR (printed)</t>
  </si>
  <si>
    <t xml:space="preserve">2026-08-09: bypass gas tube design retired. Single bulkhead is now the separation joint itself (see Recovery.md sec1,4). Printed in-house.</t>
  </si>
  <si>
    <t xml:space="preserve">5. Propulsion (Estes motors + launch system)</t>
  </si>
  <si>
    <t xml:space="preserve">Estes F15-4 2-ct (flight; 4 s delay + ejection = recovery)</t>
  </si>
  <si>
    <t xml:space="preserve">F15-4 (2-ct)</t>
  </si>
  <si>
    <t xml:space="preserve">⚠ FLIGHT MOTOR - NOT IN CURRENT CART (2026-08-09). Zeroed from to-buy total per cart-only policy, but this is the actual flight motor - confirm separately before assuming it's covered.</t>
  </si>
  <si>
    <t xml:space="preserve">Estes F15-0 2-ct (ground stands; 0-delay plugged)</t>
  </si>
  <si>
    <t xml:space="preserve">F15-0 (2-ct)</t>
  </si>
  <si>
    <t xml:space="preserve">Static thrust curves + MTVC + servo TVC on the balance (jetvane dropped).</t>
  </si>
  <si>
    <t xml:space="preserve">Estes E16-4 2-ct (stand commissioning/calibration)</t>
  </si>
  <si>
    <t xml:space="preserve">E16-4 (2-ct)</t>
  </si>
  <si>
    <t xml:space="preserve">NOT IN CURRENT CART (2026-08-09) - commissioning motors, zeroed from to-buy total; still needed before Gate 5 stand commissioning</t>
  </si>
  <si>
    <t xml:space="preserve">Estes large engine plugs (40 ct) - plug F15-0 for ground</t>
  </si>
  <si>
    <t xml:space="preserve">Engine plugs 40ct</t>
  </si>
  <si>
    <t xml:space="preserve">Confirmed 2026-08-09: not actually needed. Zeroed and removed from active procurement.</t>
  </si>
  <si>
    <t xml:space="preserve">Estes STARTech starters (igniters)</t>
  </si>
  <si>
    <t xml:space="preserve">STARTech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</si>
  <si>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</si>
  <si>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</si>
  <si>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</si>
  <si>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Lab - see flag notes, scope mismatch vs PLA/PETG-CF design)</t>
  </si>
  <si>
    <t xml:space="preserve">kexcelled Flame Retardant PC Filament (White FR, UL94 V0), Amazon - 1 kg</t>
  </si>
  <si>
    <t xml:space="preserve">B0FN7Z6FF1</t>
  </si>
  <si>
    <t xml:space="preserve"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</si>
  <si>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ASA Aero (White 46100), Bambu Lab filament w/ spool - 1 kg</t>
  </si>
  <si>
    <t xml:space="preserve">Bambu Lab</t>
  </si>
  <si>
    <t xml:space="preserve">White 46100</t>
  </si>
  <si>
    <t xml:space="preserve"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</si>
  <si>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eSUN ABS+ Filament (Black), Amazon - 1 kg</t>
  </si>
  <si>
    <t xml:space="preserve">B07FQ5MC78</t>
  </si>
  <si>
    <t xml:space="preserve">ANYCUBIC PC Filament (Black), Amazon - 1 kg</t>
  </si>
  <si>
    <t xml:space="preserve">B0FPQ7V6T3</t>
  </si>
  <si>
    <t xml:space="preserve">iSANMATE ASA Filament (Black), Amazon - 1 kg</t>
  </si>
  <si>
    <t xml:space="preserve">B0DB16JG74</t>
  </si>
  <si>
    <t xml:space="preserve"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</si>
  <si>
    <t xml:space="preserve">7. Harness, connectors, prototyping &amp; assembly</t>
  </si>
  <si>
    <t xml:space="preserve">ZSHX lead-free solder Sn99/Ag0.3/Cu0.7 (0.8 mm, 100 g)</t>
  </si>
  <si>
    <t xml:space="preserve">B07QZYC5PG</t>
  </si>
  <si>
    <t xml:space="preserve">TUOFENG 24 AWG flexible silicone wire kit (6-color, 30 ft)</t>
  </si>
  <si>
    <t xml:space="preserve">B07G2BWBX8</t>
  </si>
  <si>
    <t xml:space="preserve">HANGLIFE heat-set insert assortment M2-M6 (345 pc)</t>
  </si>
  <si>
    <t xml:space="preserve">B0CS6WXQPM</t>
  </si>
  <si>
    <t xml:space="preserve">2026-08-09f: confirmed in cart ($19.99). Un-zeroed from earlier NOT IN CURRENT CART flag.</t>
  </si>
  <si>
    <t xml:space="preserve">Adafruit Perma-Proto half breadboard PCB</t>
  </si>
  <si>
    <t xml:space="preserve">PID 1609</t>
  </si>
  <si>
    <t xml:space="preserve">Multi-colored heat-shrink pack</t>
  </si>
  <si>
    <t xml:space="preserve">PID 1649</t>
  </si>
  <si>
    <t xml:space="preserve">High-temp polyimide tape 1 cm x 33 m</t>
  </si>
  <si>
    <t xml:space="preserve">PID 3057</t>
  </si>
  <si>
    <t xml:space="preserve">Adafruit male header 36-pin short breakaway (10-pk)</t>
  </si>
  <si>
    <t xml:space="preserve">PID 3009</t>
  </si>
  <si>
    <t xml:space="preserve">STEMMA QT JST-SH 4-pin to male header, 150 mm</t>
  </si>
  <si>
    <t xml:space="preserve">PID 4209</t>
  </si>
  <si>
    <t xml:space="preserve">BSS138 4-ch I2C-safe logic level converter</t>
  </si>
  <si>
    <t xml:space="preserve">PID 757</t>
  </si>
  <si>
    <t xml:space="preserve">2.54 mm terminal block, 2-pin</t>
  </si>
  <si>
    <t xml:space="preserve">PID 2138</t>
  </si>
  <si>
    <t xml:space="preserve">USB-C to Micro-B cable, 3 ft</t>
  </si>
  <si>
    <t xml:space="preserve">PID 3878</t>
  </si>
  <si>
    <t xml:space="preserve">Silicone USB-C dust cover inserts (10-pk)</t>
  </si>
  <si>
    <t xml:space="preserve">PID 4993</t>
  </si>
  <si>
    <t xml:space="preserve">in Adafruit cart (qty1) - confirmed sufficient, no more needed (2026-08-09)</t>
  </si>
  <si>
    <t xml:space="preserve">PCB coaster (free w/ Adafruit order)</t>
  </si>
  <si>
    <t xml:space="preserve">PID 5719</t>
  </si>
  <si>
    <t xml:space="preserve">FREE</t>
  </si>
  <si>
    <t xml:space="preserve">microSD SPI breakout board (SPI0 GP2-5; Pico has no SD slot)</t>
  </si>
  <si>
    <t xml:space="preserve">PID 254</t>
  </si>
  <si>
    <t xml:space="preserve">1010 launch rail + pad (rail-exit gate is 1.0 m of rail)</t>
  </si>
  <si>
    <t xml:space="preserve">Estes/Amazon</t>
  </si>
  <si>
    <t xml:space="preserve">1010 rail</t>
  </si>
  <si>
    <t xml:space="preserve">Nomex chute protector blanket (ejection-gas shield)</t>
  </si>
  <si>
    <t xml:space="preserve">12x12 in Nomex</t>
  </si>
  <si>
    <t xml:space="preserve">Handheld anemometer (launch-site wind; RQ3 margin + go/no-go)</t>
  </si>
  <si>
    <t xml:space="preserve">vane anemometer</t>
  </si>
  <si>
    <t xml:space="preserve">Steel blast deflector plate (static stand; PC-FR will not survive)</t>
  </si>
  <si>
    <t xml:space="preserve">Local</t>
  </si>
  <si>
    <t xml:space="preserve">mild steel ~150 mm sq</t>
  </si>
  <si>
    <t xml:space="preserve">BMP388 barometric sensor (FLIGHT-BLOCKING - not in cart)</t>
  </si>
  <si>
    <t xml:space="preserve">DUPLICATE of row 8 (BMP388) - zeroed to avoid double-counting. Not in current carts.</t>
  </si>
  <si>
    <t xml:space="preserve">Decoupling kit: 1000 uF + 100 uF low-ESR + SS34 Schottky</t>
  </si>
  <si>
    <t xml:space="preserve">low-ESR + SS34</t>
  </si>
  <si>
    <t xml:space="preserve">DUPLICATE of row 18 (decoupling kit) - zeroed to avoid double-counting.</t>
  </si>
  <si>
    <t xml:space="preserve">SPDT slide arming switch (RBF sense on GP22)</t>
  </si>
  <si>
    <t xml:space="preserve">SPDT slide</t>
  </si>
  <si>
    <t xml:space="preserve">DUPLICATE of row 20 (arming switch) - zeroed to avoid double-counting.</t>
  </si>
  <si>
    <t xml:space="preserve">LiPo balance charger (2S)</t>
  </si>
  <si>
    <t xml:space="preserve">HTRC B3</t>
  </si>
  <si>
    <t xml:space="preserve">DUPLICATE of row 17 (LiPo charger, now SSUPCHG in cart) - zeroed to avoid double-counting.</t>
  </si>
  <si>
    <t xml:space="preserve">Calibration masses to ~2.5 kg (Gate 4 load-cell cal)</t>
  </si>
  <si>
    <t xml:space="preserve">local</t>
  </si>
  <si>
    <t xml:space="preserve">known masses</t>
  </si>
  <si>
    <t xml:space="preserve">DUPLICATE of row 93 (UCEC calibration weights, actual cart item) - zeroed to avoid double-counting.</t>
  </si>
  <si>
    <t xml:space="preserve">M2 ball-link rod ends, 10-pk (RE-SOURCED - original ships Aug 12-21)</t>
  </si>
  <si>
    <t xml:space="preserve">B0F1XK7H11</t>
  </si>
  <si>
    <t xml:space="preserve">DUPLICATE of row 27 (rod-end ball joints, actual cart ASIN B07Q2V3R61) - zeroed to avoid double-counting.</t>
  </si>
  <si>
    <t xml:space="preserve">https://www.adafruit.com/product/4543</t>
  </si>
  <si>
    <t xml:space="preserve">https://www.adafruit.com/product/5974</t>
  </si>
  <si>
    <t xml:space="preserve">8. Ground test - TVC balance + static stand (load cells + DAQ)</t>
  </si>
  <si>
    <t xml:space="preserve">https://www.adafruit.com/product/5302</t>
  </si>
  <si>
    <t xml:space="preserve">Adafruit strain-gauge load cell 1 kg (lateral X,Y)</t>
  </si>
  <si>
    <t xml:space="preserve">PID 4540</t>
  </si>
  <si>
    <t xml:space="preserve">in Adafruit cart</t>
  </si>
  <si>
    <t xml:space="preserve">Adafruit strain-gauge load cell 20 kg (static stand)</t>
  </si>
  <si>
    <t xml:space="preserve">PID 4543</t>
  </si>
  <si>
    <t xml:space="preserve">Adafruit HX711 24-bit ADC</t>
  </si>
  <si>
    <t xml:space="preserve">HiLetgo B00XRRNCOO (3pcs pack)</t>
  </si>
  <si>
    <t xml:space="preserve">Cart reconciliation 2026-08-09e: cart has qty3 (3x 3-pack = 9 units), not 2 - increased from qty2 to match live cart.</t>
  </si>
  <si>
    <t xml:space="preserve">Adafruit KB2040 (RP2040) - spare/bench DAQ</t>
  </si>
  <si>
    <t xml:space="preserve">PID 5302</t>
  </si>
  <si>
    <t xml:space="preserve">Digital load cell + HX711, 5 kg (2 sets) - axial Z</t>
  </si>
  <si>
    <t xml:space="preserve">B09K7G3477</t>
  </si>
  <si>
    <t xml:space="preserve">DROPPED 2026-08-09 - replaced by Adafruit 5kg cell (Section 9, row 106). Zeroed to avoid double-counting.</t>
  </si>
  <si>
    <t xml:space="preserve">UCEC calibration weight set 10 mg-100 g</t>
  </si>
  <si>
    <t xml:space="preserve">B08R8RGCRS</t>
  </si>
  <si>
    <t xml:space="preserve">GROSS TO-BUY TOTAL</t>
  </si>
  <si>
    <t xml:space="preserve">Less: Estes Pro Series II Launch Controller (reimbursed)</t>
  </si>
  <si>
    <t xml:space="preserve">NET OUT-OF-POCKET (still to buy)</t>
  </si>
  <si>
    <t xml:space="preserve">9. 2026-08-09 Cart Reconciliation &amp; Custom PCB</t>
  </si>
  <si>
    <t xml:space="preserve">Custom PCB fabrication (JLCPCB) - WYVERN-E flight computer, 3 boards</t>
  </si>
  <si>
    <t xml:space="preserve">JLCPCB</t>
  </si>
  <si>
    <t xml:space="preserve">RP2350B flight computer board</t>
  </si>
  <si>
    <t xml:space="preserve">DFM-reviewed Gerber submission (soldermask/silkscreen/SMT placement flags addressed). $200 total for 3 fabricated boards (updated 2026-08-10, was $195); one of the three is earmarked for the ground servo TVC test stand rather than flight/spare use.</t>
  </si>
  <si>
    <t xml:space="preserve">eMagTech F-F servo extension cable 10cm (10-pk)</t>
  </si>
  <si>
    <t xml:space="preserve">B0FB8QJZ33</t>
  </si>
  <si>
    <t xml:space="preserve">BrewJa JST 1.5mm 3-pin JR-style servo wire plug converter (4pc)</t>
  </si>
  <si>
    <t xml:space="preserve">B0CKYWY8T9</t>
  </si>
  <si>
    <t xml:space="preserve">Adafruit STEMMA QT 4-pin cable, 400mm</t>
  </si>
  <si>
    <t xml:space="preserve">PID 5385</t>
  </si>
  <si>
    <t xml:space="preserve">in cart (qty2, updated 2026-08-09); FC-to-external-BNO085 run across bulkhead pass-through, see Recovery.md sec5</t>
  </si>
  <si>
    <t xml:space="preserve">Adafruit strain-gauge load cell 5kg</t>
  </si>
  <si>
    <t xml:space="preserve">PID 4541</t>
  </si>
  <si>
    <t xml:space="preserve">in cart; confirmed sourcing (Amazon 5kg cell dropped 2026-08-09, see row 92)</t>
  </si>
  <si>
    <t xml:space="preserve">Adafruit strain-gauge load cell 10kg</t>
  </si>
  <si>
    <t xml:space="preserve">PID 4542</t>
  </si>
  <si>
    <t xml:space="preserve">in cart; rig mapping (TVC balance vs static stand) still to confirm</t>
  </si>
  <si>
    <t xml:space="preserve">USB-A to USB-C Adapter</t>
  </si>
  <si>
    <t xml:space="preserve">PID 4175</t>
  </si>
  <si>
    <t xml:space="preserve">REMOVED from Adafruit cart 2026-08-09 - not being ordered. Zeroed.</t>
  </si>
  <si>
    <t xml:space="preserve">Route Package Protection (Estes shipping insurance)</t>
  </si>
  <si>
    <t xml:space="preserve">Route</t>
  </si>
  <si>
    <t xml:space="preserve">Estes 18in Rip-Stop Nylon Parachute</t>
  </si>
  <si>
    <t xml:space="preserve">18in chute</t>
  </si>
  <si>
    <t xml:space="preserve">in cart; design/sims use 24in canopy only (Mathematics.md sec6) - confirm intended use (spare/drogue) or remove</t>
  </si>
  <si>
    <t xml:space="preserve">10. Field/Support Equipment (magnets, ground-test smoke)</t>
  </si>
  <si>
    <t xml:space="preserve">TRYMAG small neodymium magnets, 6x2mm, 100-pack</t>
  </si>
  <si>
    <t xml:space="preserve">B0D9BJV84F</t>
  </si>
  <si>
    <t xml:space="preserve">NOT IN CURRENT CART (2026-08-09e) - live cart has Caturledas 6x2mm-250pack instead (row 123), zeroed to avoid double-buying the same size.</t>
  </si>
  <si>
    <t xml:space="preserve">VSKIZ small neodymium magnets, 10x3mm, 50-pack</t>
  </si>
  <si>
    <t xml:space="preserve">B0BVY5VYQY</t>
  </si>
  <si>
    <t xml:space="preserve">2026-08-09: added per request. Same VSKIZ listing also offers a 6x2mm-120p size variant if consolidating to one seller is preferred.</t>
  </si>
  <si>
    <t xml:space="preserve">COLBOR CF3 30W portable rechargeable fog machine (photography/ground-test smoke)</t>
  </si>
  <si>
    <t xml:space="preserve">B0FW4VQ72H</t>
  </si>
  <si>
    <t xml:space="preserve">2026-08-09: added per request, CF3 (smaller) size selected over CF5.</t>
  </si>
  <si>
    <t xml:space="preserve">OXLasers 520nm focusable green line laser module (positioning/alignment)</t>
  </si>
  <si>
    <t xml:space="preserve">B0CKP4SYL7</t>
  </si>
  <si>
    <t xml:space="preserve">2026-08-09e: in live Amazon cart.</t>
  </si>
  <si>
    <t xml:space="preserve">Loc-Line 1/4in modular hose sample kit (flexible positioning/coolant hose)</t>
  </si>
  <si>
    <t xml:space="preserve">B0GZL8N636</t>
  </si>
  <si>
    <t xml:space="preserve">SmallRig P96L RGB portable video light (photo/video documentation)</t>
  </si>
  <si>
    <t xml:space="preserve">B09G98NRQZ</t>
  </si>
  <si>
    <t xml:space="preserve">80 Mesh 304 stainless steel woven wire mesh, 5-pack, 7.8x11.8in</t>
  </si>
  <si>
    <t xml:space="preserve">B09VNKDS9R</t>
  </si>
  <si>
    <t xml:space="preserve">40 Mesh 304 stainless steel wire mesh, ANGELIOX, 2-pack, 12x45in</t>
  </si>
  <si>
    <t xml:space="preserve">B0BBMTDK88</t>
  </si>
  <si>
    <t xml:space="preserve">Caturledas small neodymium magnets, 6x2mm, 250-pack</t>
  </si>
  <si>
    <t xml:space="preserve">B0DBVJF1G2</t>
  </si>
  <si>
    <t xml:space="preserve">2026-08-09e: actual cart item for 6x2mm size (Caturledas 250-pack, not TRYMAG 100-pack row 115 - superseded).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</si>
  <si>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</si>
  <si>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</si>
  <si>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</si>
  <si>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</si>
  <si>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</si>
  <si>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</si>
  <si>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</si>
  <si>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</si>
  <si>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</si>
  <si>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</si>
  <si>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</si>
  <si>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</si>
  <si>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</si>
  <si>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</si>
  <si>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</si>
  <si>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</si>
  <si>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</si>
  <si>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</si>
  <si>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</si>
  <si>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</si>
  <si>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</si>
  <si>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</si>
  <si>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</si>
  <si>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</si>
  <si>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</si>
  <si>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</si>
  <si>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</si>
  <si>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</si>
  <si>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</si>
  <si>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</si>
  <si>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</si>
  <si>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</si>
  <si>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</si>
  <si>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</si>
  <si>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</si>
  <si>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</si>
  <si>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</si>
  <si>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</si>
  <si>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</si>
  <si>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</si>
  <si>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</si>
  <si>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</si>
  <si>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</si>
  <si>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</si>
  <si>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</si>
  <si>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</si>
  <si>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</si>
  <si>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</si>
  <si>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</si>
  <si>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</si>
  <si>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</si>
  <si>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</si>
  <si>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</si>
  <si>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</si>
  <si>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</si>
  <si>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</si>
  <si>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</si>
  <si>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</si>
  <si>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</si>
  <si>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</si>
  <si>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</si>
  <si>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WYVERN-E - BOM Summary</t>
  </si>
  <si>
    <t xml:space="preserve">Gross to-buy total</t>
  </si>
  <si>
    <t xml:space="preserve">Less: reimbursed (launch controller)</t>
  </si>
  <si>
    <t xml:space="preserve">Already acquired (owned, not in to-buy)</t>
  </si>
  <si>
    <t xml:space="preserve">Total program spend (net to-buy + already acquired)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</si>
</sst>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\$#,##0.00;&quot;($&quot;#,##0.00\)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3"/>
      <color rgb="FF1F4E7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om/gp/product/B0DP54FWX1" TargetMode="External"/><Relationship Id="rId2" Type="http://schemas.openxmlformats.org/officeDocument/2006/relationships/hyperlink" Target="https://www.adafruit.com/product/4754" TargetMode="External"/><Relationship Id="rId3" Type="http://schemas.openxmlformats.org/officeDocument/2006/relationships/hyperlink" Target="https://www.adafruit.com/product/3966" TargetMode="External"/><Relationship Id="rId4" Type="http://schemas.openxmlformats.org/officeDocument/2006/relationships/hyperlink" Target="https://www.amazon.com/gp/product/B0DDSH1W1N" TargetMode="External"/><Relationship Id="rId5" Type="http://schemas.openxmlformats.org/officeDocument/2006/relationships/hyperlink" Target="https://www.amazon.com/gp/product/B0FQBPZPKF" TargetMode="External"/><Relationship Id="rId6" Type="http://schemas.openxmlformats.org/officeDocument/2006/relationships/hyperlink" Target="https://www.amazon.com/dp/B0DGQ5HHMY" TargetMode="External"/><Relationship Id="rId7" Type="http://schemas.openxmlformats.org/officeDocument/2006/relationships/hyperlink" Target="https://www.amazon.com/dp/B008ZNWOYY" TargetMode="External"/><Relationship Id="rId8" Type="http://schemas.openxmlformats.org/officeDocument/2006/relationships/hyperlink" Target="https://www.amazon.com/dp/B08HN5DZ5Y" TargetMode="External"/><Relationship Id="rId9" Type="http://schemas.openxmlformats.org/officeDocument/2006/relationships/hyperlink" Target="https://www.amazon.com/s?k=1000uF+low+ESR+capacitor+SS34+schottky" TargetMode="External"/><Relationship Id="rId10" Type="http://schemas.openxmlformats.org/officeDocument/2006/relationships/hyperlink" Target="https://www.amazon.com/s?k=100k+62k+1%25+metal+film+resistor" TargetMode="External"/><Relationship Id="rId11" Type="http://schemas.openxmlformats.org/officeDocument/2006/relationships/hyperlink" Target="https://www.amazon.com/s?k=mini+SPDT+slide+switch" TargetMode="External"/><Relationship Id="rId12" Type="http://schemas.openxmlformats.org/officeDocument/2006/relationships/hyperlink" Target="https://www.amazon.com/gp/product/B0DN1G3P2M" TargetMode="External"/><Relationship Id="rId13" Type="http://schemas.openxmlformats.org/officeDocument/2006/relationships/hyperlink" Target="https://www.amazon.com/gp/product/B09DJY425B" TargetMode="External"/><Relationship Id="rId14" Type="http://schemas.openxmlformats.org/officeDocument/2006/relationships/hyperlink" Target="https://www.amazon.com/gp/product/B07Q2V3R61" TargetMode="External"/><Relationship Id="rId15" Type="http://schemas.openxmlformats.org/officeDocument/2006/relationships/hyperlink" Target="https://www.amazon.com/gp/product/B01LA9YDEI" TargetMode="External"/><Relationship Id="rId16" Type="http://schemas.openxmlformats.org/officeDocument/2006/relationships/hyperlink" Target="https://www.estesrockets.com/" TargetMode="External"/><Relationship Id="rId17" Type="http://schemas.openxmlformats.org/officeDocument/2006/relationships/hyperlink" Target="https://www.estesrockets.com/" TargetMode="External"/><Relationship Id="rId18" Type="http://schemas.openxmlformats.org/officeDocument/2006/relationships/hyperlink" Target="https://www.estesrockets.com/" TargetMode="External"/><Relationship Id="rId19" Type="http://schemas.openxmlformats.org/officeDocument/2006/relationships/hyperlink" Target="https://www.estesrockets.com/" TargetMode="External"/><Relationship Id="rId20" Type="http://schemas.openxmlformats.org/officeDocument/2006/relationships/hyperlink" Target="https://www.estesrockets.com/" TargetMode="External"/><Relationship Id="rId21" Type="http://schemas.openxmlformats.org/officeDocument/2006/relationships/hyperlink" Target="https://www.estesrockets.com/" TargetMode="External"/><Relationship Id="rId22" Type="http://schemas.openxmlformats.org/officeDocument/2006/relationships/hyperlink" Target="https://www.estesrockets.com/" TargetMode="External"/><Relationship Id="rId23" Type="http://schemas.openxmlformats.org/officeDocument/2006/relationships/hyperlink" Target="https://www.estesrockets.com/" TargetMode="External"/><Relationship Id="rId24" Type="http://schemas.openxmlformats.org/officeDocument/2006/relationships/hyperlink" Target="https://www.estesrockets.com/" TargetMode="External"/><Relationship Id="rId25" Type="http://schemas.openxmlformats.org/officeDocument/2006/relationships/hyperlink" Target="https://www.amazon.com/gp/product/B0FN8366S3" TargetMode="External"/><Relationship Id="rId26" Type="http://schemas.openxmlformats.org/officeDocument/2006/relationships/hyperlink" Target="https://us.store.bambulab.com/" TargetMode="External"/><Relationship Id="rId27" Type="http://schemas.openxmlformats.org/officeDocument/2006/relationships/hyperlink" Target="https://www.amazon.com/gp/product/B0C7BW71L8" TargetMode="External"/><Relationship Id="rId28" Type="http://schemas.openxmlformats.org/officeDocument/2006/relationships/hyperlink" Target="https://www.amazon.com/gp/product/B0FB2KNC8P" TargetMode="External"/><Relationship Id="rId29" Type="http://schemas.openxmlformats.org/officeDocument/2006/relationships/hyperlink" Target="https://www.amazon.com/gp/product/B0D5MG8JDR" TargetMode="External"/><Relationship Id="rId30" Type="http://schemas.openxmlformats.org/officeDocument/2006/relationships/hyperlink" Target="https://www.amazon.com/gp/product/B07QZYC5PG" TargetMode="External"/><Relationship Id="rId31" Type="http://schemas.openxmlformats.org/officeDocument/2006/relationships/hyperlink" Target="https://www.amazon.com/gp/product/B07G2BWBX8" TargetMode="External"/><Relationship Id="rId32" Type="http://schemas.openxmlformats.org/officeDocument/2006/relationships/hyperlink" Target="https://www.amazon.com/gp/product/B0CS6WXQPM" TargetMode="External"/><Relationship Id="rId33" Type="http://schemas.openxmlformats.org/officeDocument/2006/relationships/hyperlink" Target="https://www.adafruit.com/product/1609" TargetMode="External"/><Relationship Id="rId34" Type="http://schemas.openxmlformats.org/officeDocument/2006/relationships/hyperlink" Target="https://www.adafruit.com/product/1649" TargetMode="External"/><Relationship Id="rId35" Type="http://schemas.openxmlformats.org/officeDocument/2006/relationships/hyperlink" Target="https://www.adafruit.com/product/3057" TargetMode="External"/><Relationship Id="rId36" Type="http://schemas.openxmlformats.org/officeDocument/2006/relationships/hyperlink" Target="https://www.adafruit.com/product/3009" TargetMode="External"/><Relationship Id="rId37" Type="http://schemas.openxmlformats.org/officeDocument/2006/relationships/hyperlink" Target="https://www.adafruit.com/product/4209" TargetMode="External"/><Relationship Id="rId38" Type="http://schemas.openxmlformats.org/officeDocument/2006/relationships/hyperlink" Target="https://www.adafruit.com/product/757" TargetMode="External"/><Relationship Id="rId39" Type="http://schemas.openxmlformats.org/officeDocument/2006/relationships/hyperlink" Target="https://www.adafruit.com/product/2138" TargetMode="External"/><Relationship Id="rId40" Type="http://schemas.openxmlformats.org/officeDocument/2006/relationships/hyperlink" Target="https://www.adafruit.com/product/3878" TargetMode="External"/><Relationship Id="rId41" Type="http://schemas.openxmlformats.org/officeDocument/2006/relationships/hyperlink" Target="https://www.adafruit.com/product/4993" TargetMode="External"/><Relationship Id="rId42" Type="http://schemas.openxmlformats.org/officeDocument/2006/relationships/hyperlink" Target="https://www.adafruit.com/product/5719" TargetMode="External"/><Relationship Id="rId43" Type="http://schemas.openxmlformats.org/officeDocument/2006/relationships/hyperlink" Target="https://www.adafruit.com/product/4540" TargetMode="External"/><Relationship Id="rId44" Type="http://schemas.openxmlformats.org/officeDocument/2006/relationships/hyperlink" Target="https://www.adafruit.com/product/4543" TargetMode="External"/><Relationship Id="rId45" Type="http://schemas.openxmlformats.org/officeDocument/2006/relationships/hyperlink" Target="https://www.adafruit.com/product/5974" TargetMode="External"/><Relationship Id="rId46" Type="http://schemas.openxmlformats.org/officeDocument/2006/relationships/hyperlink" Target="https://www.adafruit.com/product/5302" TargetMode="External"/><Relationship Id="rId47" Type="http://schemas.openxmlformats.org/officeDocument/2006/relationships/hyperlink" Target="https://www.amazon.com/gp/product/B09K7G3477" TargetMode="External"/><Relationship Id="rId48" Type="http://schemas.openxmlformats.org/officeDocument/2006/relationships/hyperlink" Target="https://www.amazon.com/gp/product/B08R8RGCR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us.store.bambulab.com/" TargetMode="External"/><Relationship Id="rId2" Type="http://schemas.openxmlformats.org/officeDocument/2006/relationships/hyperlink" Target="https://us.store.bambulab.com/" TargetMode="External"/><Relationship Id="rId3" Type="http://schemas.openxmlformats.org/officeDocument/2006/relationships/hyperlink" Target="https://us.store.bambulab.com/" TargetMode="External"/><Relationship Id="rId4" Type="http://schemas.openxmlformats.org/officeDocument/2006/relationships/hyperlink" Target="https://a.co/d/0bfzHWJc" TargetMode="External"/><Relationship Id="rId5" Type="http://schemas.openxmlformats.org/officeDocument/2006/relationships/hyperlink" Target="https://a.co/d/0iO2VtZm" TargetMode="External"/><Relationship Id="rId6" Type="http://schemas.openxmlformats.org/officeDocument/2006/relationships/hyperlink" Target="https://a.co/d/04DoxXD0" TargetMode="External"/><Relationship Id="rId7" Type="http://schemas.openxmlformats.org/officeDocument/2006/relationships/hyperlink" Target="https://a.co/d/07hl0ZV7" TargetMode="External"/><Relationship Id="rId8" Type="http://schemas.openxmlformats.org/officeDocument/2006/relationships/hyperlink" Target="https://a.co/d/08cUqjtX" TargetMode="External"/><Relationship Id="rId9" Type="http://schemas.openxmlformats.org/officeDocument/2006/relationships/hyperlink" Target="https://a.co/d/0bKZhm8B" TargetMode="External"/><Relationship Id="rId10" Type="http://schemas.openxmlformats.org/officeDocument/2006/relationships/hyperlink" Target="https://a.co/d/04GOSvEt" TargetMode="External"/><Relationship Id="rId11" Type="http://schemas.openxmlformats.org/officeDocument/2006/relationships/hyperlink" Target="https://a.co/d/0epyaW1H" TargetMode="External"/><Relationship Id="rId12" Type="http://schemas.openxmlformats.org/officeDocument/2006/relationships/hyperlink" Target="https://a.co/d/07GEvjM3" TargetMode="External"/><Relationship Id="rId13" Type="http://schemas.openxmlformats.org/officeDocument/2006/relationships/hyperlink" Target="https://www.amazon.com/s?k=uni+usb-c+microsd+card+reader" TargetMode="External"/><Relationship Id="rId14" Type="http://schemas.openxmlformats.org/officeDocument/2006/relationships/hyperlink" Target="https://www.amazon.com/s?k=32gb+microsd+card" TargetMode="External"/><Relationship Id="rId15" Type="http://schemas.openxmlformats.org/officeDocument/2006/relationships/hyperlink" Target="https://www.adafruit.com/product/5046" TargetMode="External"/><Relationship Id="rId16" Type="http://schemas.openxmlformats.org/officeDocument/2006/relationships/hyperlink" Target="https://www.digikey.ca/en/products/detail/mechatronics-fan-group/MS1238E12B1-6-FHR/9962916" TargetMode="External"/><Relationship Id="rId17" Type="http://schemas.openxmlformats.org/officeDocument/2006/relationships/hyperlink" Target="https://www.mcmaster.com/products/5862k415/" TargetMode="External"/><Relationship Id="rId18" Type="http://schemas.openxmlformats.org/officeDocument/2006/relationships/hyperlink" Target="https://a.co/d/05JVRnmt" TargetMode="External"/><Relationship Id="rId19" Type="http://schemas.openxmlformats.org/officeDocument/2006/relationships/hyperlink" Target="https://a.co/d/0iz49s21" TargetMode="External"/><Relationship Id="rId20" Type="http://schemas.openxmlformats.org/officeDocument/2006/relationships/hyperlink" Target="https://www.adafruit.com/product/6489" TargetMode="External"/><Relationship Id="rId21" Type="http://schemas.openxmlformats.org/officeDocument/2006/relationships/hyperlink" Target="https://www.adafruit.com/product/5396" TargetMode="External"/><Relationship Id="rId22" Type="http://schemas.openxmlformats.org/officeDocument/2006/relationships/hyperlink" Target="https://www.adafruit.com/product/5626" TargetMode="External"/><Relationship Id="rId23" Type="http://schemas.openxmlformats.org/officeDocument/2006/relationships/hyperlink" Target="https://www.adafruit.com/product/538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7" min="7" style="1" width="9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7" t="s">
        <v>8</v>
      </c>
      <c r="G5" s="7" t="s">
        <v>9</v>
      </c>
      <c r="H5" s="7" t="s">
        <v>10</v>
      </c>
    </row>
    <row r="6" customFormat="false" ht="23.25" hidden="false" customHeight="true" outlineLevel="0" collapsed="false">
      <c r="A6" s="8" t="s">
        <v>11</v>
      </c>
      <c r="B6" s="9" t="s">
        <v>12</v>
      </c>
      <c r="C6" s="9" t="s">
        <v>13</v>
      </c>
      <c r="D6" s="10" t="s">
        <v>14</v>
      </c>
      <c r="E6" s="11" t="s">
        <v>15</v>
      </c>
      <c r="F6" s="12" t="n">
        <v>1</v>
      </c>
      <c r="G6" s="13" t="n">
        <v>16.31</v>
      </c>
      <c r="H6" s="13" t="n">
        <f aca="false">F6*G6</f>
        <v>16.31</v>
      </c>
    </row>
    <row r="7" customFormat="false" ht="15" hidden="false" customHeight="true" outlineLevel="0" collapsed="false">
      <c r="A7" s="8" t="s">
        <v>16</v>
      </c>
      <c r="B7" s="9" t="s">
        <v>17</v>
      </c>
      <c r="C7" s="9" t="s">
        <v>18</v>
      </c>
      <c r="D7" s="10" t="s">
        <v>14</v>
      </c>
      <c r="E7" s="11" t="s">
        <v>19</v>
      </c>
      <c r="F7" s="12" t="n">
        <v>1</v>
      </c>
      <c r="G7" s="13" t="n">
        <v>29.5</v>
      </c>
      <c r="H7" s="13" t="n">
        <f aca="false">F7*G7</f>
        <v>29.5</v>
      </c>
    </row>
    <row r="8" customFormat="false" ht="15" hidden="false" customHeight="true" outlineLevel="0" collapsed="false">
      <c r="A8" s="8" t="s">
        <v>20</v>
      </c>
      <c r="B8" s="9" t="s">
        <v>17</v>
      </c>
      <c r="C8" s="9" t="s">
        <v>21</v>
      </c>
      <c r="D8" s="10" t="s">
        <v>14</v>
      </c>
      <c r="E8" s="11" t="s">
        <v>22</v>
      </c>
      <c r="F8" s="12" t="n">
        <v>2</v>
      </c>
      <c r="G8" s="13" t="n">
        <v>0</v>
      </c>
      <c r="H8" s="13" t="n">
        <f aca="false">F8*G8</f>
        <v>0</v>
      </c>
    </row>
    <row r="9" customFormat="false" ht="15" hidden="false" customHeight="true" outlineLevel="0" collapsed="false">
      <c r="A9" s="8" t="s">
        <v>23</v>
      </c>
      <c r="B9" s="9" t="s">
        <v>12</v>
      </c>
      <c r="C9" s="9" t="s">
        <v>24</v>
      </c>
      <c r="D9" s="10" t="s">
        <v>14</v>
      </c>
      <c r="E9" s="11" t="s">
        <v>25</v>
      </c>
      <c r="F9" s="12" t="n">
        <v>1</v>
      </c>
      <c r="G9" s="13" t="n">
        <v>67.99</v>
      </c>
      <c r="H9" s="13" t="n">
        <f aca="false">F9*G9</f>
        <v>67.99</v>
      </c>
    </row>
    <row r="10" customFormat="false" ht="15" hidden="false" customHeight="true" outlineLevel="0" collapsed="false">
      <c r="A10" s="8" t="s">
        <v>26</v>
      </c>
      <c r="B10" s="9" t="s">
        <v>12</v>
      </c>
      <c r="C10" s="9" t="s">
        <v>27</v>
      </c>
      <c r="D10" s="10" t="s">
        <v>14</v>
      </c>
      <c r="E10" s="11" t="s">
        <v>22</v>
      </c>
      <c r="F10" s="12" t="n">
        <v>1</v>
      </c>
      <c r="G10" s="13" t="n">
        <v>0</v>
      </c>
      <c r="H10" s="13" t="n">
        <f aca="false">F10*G10</f>
        <v>0</v>
      </c>
    </row>
    <row r="11" customFormat="false" ht="15" hidden="false" customHeight="true" outlineLevel="0" collapsed="false">
      <c r="A11" s="14" t="s">
        <v>28</v>
      </c>
      <c r="B11" s="15"/>
      <c r="C11" s="15"/>
      <c r="D11" s="15"/>
      <c r="E11" s="15"/>
      <c r="F11" s="15"/>
      <c r="G11" s="15"/>
      <c r="H11" s="16" t="n">
        <f aca="false">SUM(H6:H10)</f>
        <v>113.8</v>
      </c>
    </row>
    <row r="13" customFormat="false" ht="15" hidden="false" customHeight="true" outlineLevel="0" collapsed="false">
      <c r="A13" s="4" t="s">
        <v>29</v>
      </c>
      <c r="B13" s="5"/>
      <c r="C13" s="5"/>
      <c r="D13" s="5"/>
      <c r="E13" s="5"/>
      <c r="F13" s="5"/>
      <c r="G13" s="5"/>
      <c r="H13" s="5"/>
    </row>
    <row r="14" customFormat="false" ht="15" hidden="false" customHeight="true" outlineLevel="0" collapsed="false">
      <c r="A14" s="6" t="s">
        <v>3</v>
      </c>
      <c r="B14" s="6" t="s">
        <v>4</v>
      </c>
      <c r="C14" s="6" t="s">
        <v>5</v>
      </c>
      <c r="D14" s="6" t="s">
        <v>6</v>
      </c>
      <c r="E14" s="6" t="s">
        <v>7</v>
      </c>
      <c r="F14" s="7" t="s">
        <v>8</v>
      </c>
      <c r="G14" s="7" t="s">
        <v>9</v>
      </c>
      <c r="H14" s="7" t="s">
        <v>10</v>
      </c>
    </row>
    <row r="15" customFormat="false" ht="15" hidden="false" customHeight="true" outlineLevel="0" collapsed="false">
      <c r="A15" s="8" t="s">
        <v>30</v>
      </c>
      <c r="B15" s="9" t="s">
        <v>12</v>
      </c>
      <c r="C15" s="9" t="s">
        <v>31</v>
      </c>
      <c r="D15" s="10" t="s">
        <v>14</v>
      </c>
      <c r="E15" s="11" t="s">
        <v>32</v>
      </c>
      <c r="F15" s="12" t="n">
        <v>1</v>
      </c>
      <c r="G15" s="13" t="n">
        <v>14.25</v>
      </c>
      <c r="H15" s="13" t="n">
        <f aca="false">F15*G15</f>
        <v>14.25</v>
      </c>
    </row>
    <row r="16" customFormat="false" ht="23.25" hidden="false" customHeight="true" outlineLevel="0" collapsed="false">
      <c r="A16" s="8" t="s">
        <v>33</v>
      </c>
      <c r="B16" s="9" t="s">
        <v>12</v>
      </c>
      <c r="C16" s="9" t="s">
        <v>34</v>
      </c>
      <c r="D16" s="10" t="s">
        <v>14</v>
      </c>
      <c r="E16" s="11" t="s">
        <v>22</v>
      </c>
      <c r="F16" s="12" t="n">
        <v>1</v>
      </c>
      <c r="G16" s="13" t="n">
        <v>0</v>
      </c>
      <c r="H16" s="13" t="n">
        <f aca="false">F16*G16</f>
        <v>0</v>
      </c>
    </row>
    <row r="17" customFormat="false" ht="15" hidden="false" customHeight="true" outlineLevel="0" collapsed="false">
      <c r="A17" s="8" t="s">
        <v>35</v>
      </c>
      <c r="B17" s="9" t="s">
        <v>12</v>
      </c>
      <c r="C17" s="9" t="s">
        <v>36</v>
      </c>
      <c r="D17" s="10" t="s">
        <v>14</v>
      </c>
      <c r="E17" s="11" t="s">
        <v>37</v>
      </c>
      <c r="F17" s="12" t="n">
        <v>1</v>
      </c>
      <c r="G17" s="13" t="n">
        <v>15.63</v>
      </c>
      <c r="H17" s="13" t="n">
        <f aca="false">F17*G17</f>
        <v>15.63</v>
      </c>
    </row>
    <row r="18" customFormat="false" ht="23.25" hidden="false" customHeight="true" outlineLevel="0" collapsed="false">
      <c r="A18" s="8" t="s">
        <v>38</v>
      </c>
      <c r="B18" s="9" t="s">
        <v>12</v>
      </c>
      <c r="C18" s="9" t="s">
        <v>39</v>
      </c>
      <c r="D18" s="10" t="s">
        <v>14</v>
      </c>
      <c r="E18" s="11" t="s">
        <v>22</v>
      </c>
      <c r="F18" s="12" t="n">
        <v>1</v>
      </c>
      <c r="G18" s="13" t="n">
        <v>0</v>
      </c>
      <c r="H18" s="13" t="n">
        <f aca="false">F18*G18</f>
        <v>0</v>
      </c>
    </row>
    <row r="19" customFormat="false" ht="23.25" hidden="false" customHeight="true" outlineLevel="0" collapsed="false">
      <c r="A19" s="8" t="s">
        <v>40</v>
      </c>
      <c r="B19" s="9" t="s">
        <v>12</v>
      </c>
      <c r="C19" s="9" t="s">
        <v>41</v>
      </c>
      <c r="D19" s="10" t="s">
        <v>14</v>
      </c>
      <c r="E19" s="11" t="s">
        <v>22</v>
      </c>
      <c r="F19" s="12" t="n">
        <v>1</v>
      </c>
      <c r="G19" s="13" t="n">
        <v>0</v>
      </c>
      <c r="H19" s="13" t="n">
        <f aca="false">F19*G19</f>
        <v>0</v>
      </c>
    </row>
    <row r="20" customFormat="false" ht="15" hidden="false" customHeight="true" outlineLevel="0" collapsed="false">
      <c r="A20" s="8" t="s">
        <v>42</v>
      </c>
      <c r="B20" s="9" t="s">
        <v>12</v>
      </c>
      <c r="C20" s="9" t="s">
        <v>43</v>
      </c>
      <c r="D20" s="10" t="s">
        <v>14</v>
      </c>
      <c r="E20" s="11" t="s">
        <v>22</v>
      </c>
      <c r="F20" s="12" t="n">
        <v>2</v>
      </c>
      <c r="G20" s="13" t="n">
        <v>0</v>
      </c>
      <c r="H20" s="13" t="n">
        <f aca="false">F20*G20</f>
        <v>0</v>
      </c>
    </row>
    <row r="21" customFormat="false" ht="15" hidden="false" customHeight="true" outlineLevel="0" collapsed="false">
      <c r="A21" s="14" t="s">
        <v>28</v>
      </c>
      <c r="B21" s="15"/>
      <c r="C21" s="15"/>
      <c r="D21" s="15"/>
      <c r="E21" s="15"/>
      <c r="F21" s="15"/>
      <c r="G21" s="15"/>
      <c r="H21" s="16" t="n">
        <f aca="false">SUM(H15:H20)</f>
        <v>29.88</v>
      </c>
    </row>
    <row r="23" customFormat="false" ht="15" hidden="false" customHeight="true" outlineLevel="0" collapsed="false">
      <c r="A23" s="4" t="s">
        <v>44</v>
      </c>
      <c r="B23" s="5"/>
      <c r="C23" s="5"/>
      <c r="D23" s="5"/>
      <c r="E23" s="5"/>
      <c r="F23" s="5"/>
      <c r="G23" s="5"/>
      <c r="H23" s="5"/>
    </row>
    <row r="24" customFormat="false" ht="15" hidden="false" customHeight="true" outlineLevel="0" collapsed="false">
      <c r="A24" s="6" t="s">
        <v>3</v>
      </c>
      <c r="B24" s="6" t="s">
        <v>4</v>
      </c>
      <c r="C24" s="6" t="s">
        <v>5</v>
      </c>
      <c r="D24" s="6" t="s">
        <v>6</v>
      </c>
      <c r="E24" s="6" t="s">
        <v>7</v>
      </c>
      <c r="F24" s="7" t="s">
        <v>8</v>
      </c>
      <c r="G24" s="7" t="s">
        <v>9</v>
      </c>
      <c r="H24" s="7" t="s">
        <v>10</v>
      </c>
    </row>
    <row r="25" customFormat="false" ht="15" hidden="false" customHeight="true" outlineLevel="0" collapsed="false">
      <c r="A25" s="8" t="s">
        <v>45</v>
      </c>
      <c r="B25" s="9" t="s">
        <v>12</v>
      </c>
      <c r="C25" s="9" t="s">
        <v>46</v>
      </c>
      <c r="D25" s="10" t="s">
        <v>14</v>
      </c>
      <c r="E25" s="11" t="s">
        <v>47</v>
      </c>
      <c r="F25" s="12" t="n">
        <v>1</v>
      </c>
      <c r="G25" s="13" t="n">
        <v>39.99</v>
      </c>
      <c r="H25" s="13" t="n">
        <f aca="false">F25*G25</f>
        <v>39.99</v>
      </c>
    </row>
    <row r="26" customFormat="false" ht="15" hidden="false" customHeight="true" outlineLevel="0" collapsed="false">
      <c r="A26" s="8" t="s">
        <v>48</v>
      </c>
      <c r="B26" s="9" t="s">
        <v>12</v>
      </c>
      <c r="C26" s="9" t="s">
        <v>49</v>
      </c>
      <c r="D26" s="10" t="s">
        <v>14</v>
      </c>
      <c r="E26" s="11" t="s">
        <v>50</v>
      </c>
      <c r="F26" s="12" t="n">
        <v>2</v>
      </c>
      <c r="G26" s="13" t="n">
        <v>6.99</v>
      </c>
      <c r="H26" s="13" t="n">
        <f aca="false">F26*G26</f>
        <v>13.98</v>
      </c>
    </row>
    <row r="27" customFormat="false" ht="15" hidden="false" customHeight="true" outlineLevel="0" collapsed="false">
      <c r="A27" s="8" t="s">
        <v>51</v>
      </c>
      <c r="B27" s="9" t="s">
        <v>12</v>
      </c>
      <c r="C27" s="9" t="s">
        <v>52</v>
      </c>
      <c r="D27" s="10" t="s">
        <v>14</v>
      </c>
      <c r="E27" s="11" t="s">
        <v>50</v>
      </c>
      <c r="F27" s="12" t="n">
        <v>2</v>
      </c>
      <c r="G27" s="13" t="n">
        <v>12.99</v>
      </c>
      <c r="H27" s="13" t="n">
        <f aca="false">F27*G27</f>
        <v>25.98</v>
      </c>
    </row>
    <row r="28" customFormat="false" ht="15" hidden="false" customHeight="true" outlineLevel="0" collapsed="false">
      <c r="A28" s="8" t="s">
        <v>53</v>
      </c>
      <c r="B28" s="9" t="s">
        <v>12</v>
      </c>
      <c r="C28" s="9" t="s">
        <v>54</v>
      </c>
      <c r="D28" s="10" t="s">
        <v>14</v>
      </c>
      <c r="E28" s="11" t="s">
        <v>50</v>
      </c>
      <c r="F28" s="12" t="n">
        <v>1</v>
      </c>
      <c r="G28" s="13" t="n">
        <v>6.99</v>
      </c>
      <c r="H28" s="13" t="n">
        <f aca="false">F28*G28</f>
        <v>6.99</v>
      </c>
    </row>
    <row r="29" customFormat="false" ht="15" hidden="false" customHeight="true" outlineLevel="0" collapsed="false">
      <c r="A29" s="14" t="s">
        <v>28</v>
      </c>
      <c r="B29" s="15"/>
      <c r="C29" s="15"/>
      <c r="D29" s="15"/>
      <c r="E29" s="15"/>
      <c r="F29" s="15"/>
      <c r="G29" s="15"/>
      <c r="H29" s="16" t="n">
        <f aca="false">SUM(H25:H28)</f>
        <v>86.94</v>
      </c>
    </row>
    <row r="31" customFormat="false" ht="15" hidden="false" customHeight="true" outlineLevel="0" collapsed="false">
      <c r="A31" s="4" t="s">
        <v>55</v>
      </c>
      <c r="B31" s="5"/>
      <c r="C31" s="5"/>
      <c r="D31" s="5"/>
      <c r="E31" s="5"/>
      <c r="F31" s="5"/>
      <c r="G31" s="5"/>
      <c r="H31" s="5"/>
    </row>
    <row r="32" customFormat="false" ht="15" hidden="false" customHeight="true" outlineLevel="0" collapsed="false">
      <c r="A32" s="6" t="s">
        <v>3</v>
      </c>
      <c r="B32" s="6" t="s">
        <v>4</v>
      </c>
      <c r="C32" s="6" t="s">
        <v>5</v>
      </c>
      <c r="D32" s="6" t="s">
        <v>6</v>
      </c>
      <c r="E32" s="6" t="s">
        <v>7</v>
      </c>
      <c r="F32" s="7" t="s">
        <v>8</v>
      </c>
      <c r="G32" s="7" t="s">
        <v>9</v>
      </c>
      <c r="H32" s="7" t="s">
        <v>10</v>
      </c>
    </row>
    <row r="33" customFormat="false" ht="15" hidden="false" customHeight="true" outlineLevel="0" collapsed="false">
      <c r="A33" s="8" t="s">
        <v>56</v>
      </c>
      <c r="B33" s="9" t="s">
        <v>57</v>
      </c>
      <c r="C33" s="9" t="s">
        <v>58</v>
      </c>
      <c r="D33" s="10" t="s">
        <v>14</v>
      </c>
      <c r="E33" s="11" t="s">
        <v>59</v>
      </c>
      <c r="F33" s="12" t="n">
        <v>1</v>
      </c>
      <c r="G33" s="13" t="n">
        <v>9.23</v>
      </c>
      <c r="H33" s="13" t="n">
        <f aca="false">F33*G33</f>
        <v>9.23</v>
      </c>
    </row>
    <row r="34" customFormat="false" ht="15" hidden="false" customHeight="true" outlineLevel="0" collapsed="false">
      <c r="A34" s="8" t="s">
        <v>60</v>
      </c>
      <c r="B34" s="9" t="s">
        <v>57</v>
      </c>
      <c r="C34" s="9" t="s">
        <v>61</v>
      </c>
      <c r="D34" s="10" t="s">
        <v>14</v>
      </c>
      <c r="E34" s="11"/>
      <c r="F34" s="12" t="n">
        <v>1</v>
      </c>
      <c r="G34" s="13" t="n">
        <v>9</v>
      </c>
      <c r="H34" s="13" t="n">
        <f aca="false">F34*G34</f>
        <v>9</v>
      </c>
    </row>
    <row r="35" customFormat="false" ht="15" hidden="false" customHeight="true" outlineLevel="0" collapsed="false">
      <c r="A35" s="8" t="s">
        <v>62</v>
      </c>
      <c r="B35" s="9" t="s">
        <v>57</v>
      </c>
      <c r="C35" s="9" t="s">
        <v>63</v>
      </c>
      <c r="D35" s="10" t="s">
        <v>14</v>
      </c>
      <c r="E35" s="11" t="s">
        <v>64</v>
      </c>
      <c r="F35" s="12" t="n">
        <v>1</v>
      </c>
      <c r="G35" s="13" t="n">
        <v>5.4</v>
      </c>
      <c r="H35" s="13" t="n">
        <f aca="false">F35*G35</f>
        <v>5.4</v>
      </c>
    </row>
    <row r="36" customFormat="false" ht="15" hidden="false" customHeight="true" outlineLevel="0" collapsed="false">
      <c r="A36" s="8" t="s">
        <v>65</v>
      </c>
      <c r="B36" s="9" t="s">
        <v>66</v>
      </c>
      <c r="C36" s="9" t="s">
        <v>67</v>
      </c>
      <c r="D36" s="9" t="s">
        <v>14</v>
      </c>
      <c r="E36" s="11" t="s">
        <v>68</v>
      </c>
      <c r="F36" s="12" t="n">
        <v>1</v>
      </c>
      <c r="G36" s="13" t="n">
        <v>0</v>
      </c>
      <c r="H36" s="13" t="n">
        <f aca="false">F36*G36</f>
        <v>0</v>
      </c>
    </row>
    <row r="37" customFormat="false" ht="15" hidden="false" customHeight="true" outlineLevel="0" collapsed="false">
      <c r="A37" s="14" t="s">
        <v>28</v>
      </c>
      <c r="B37" s="15"/>
      <c r="C37" s="15"/>
      <c r="D37" s="15"/>
      <c r="E37" s="15"/>
      <c r="F37" s="15"/>
      <c r="G37" s="15"/>
      <c r="H37" s="16" t="n">
        <f aca="false">SUM(H33:H36)</f>
        <v>23.63</v>
      </c>
    </row>
    <row r="39" customFormat="false" ht="15" hidden="false" customHeight="true" outlineLevel="0" collapsed="false">
      <c r="A39" s="4" t="s">
        <v>69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 t="s">
        <v>3</v>
      </c>
      <c r="B40" s="6" t="s">
        <v>4</v>
      </c>
      <c r="C40" s="6" t="s">
        <v>5</v>
      </c>
      <c r="D40" s="6" t="s">
        <v>6</v>
      </c>
      <c r="E40" s="6" t="s">
        <v>7</v>
      </c>
      <c r="F40" s="7" t="s">
        <v>8</v>
      </c>
      <c r="G40" s="7" t="s">
        <v>9</v>
      </c>
      <c r="H40" s="7" t="s">
        <v>10</v>
      </c>
    </row>
    <row r="41" customFormat="false" ht="15" hidden="false" customHeight="true" outlineLevel="0" collapsed="false">
      <c r="A41" s="8" t="s">
        <v>70</v>
      </c>
      <c r="B41" s="9" t="s">
        <v>57</v>
      </c>
      <c r="C41" s="9" t="s">
        <v>71</v>
      </c>
      <c r="D41" s="10" t="s">
        <v>14</v>
      </c>
      <c r="E41" s="11" t="s">
        <v>72</v>
      </c>
      <c r="F41" s="12" t="n">
        <v>2</v>
      </c>
      <c r="G41" s="13" t="n">
        <v>0</v>
      </c>
      <c r="H41" s="13" t="n">
        <f aca="false">F41*G41</f>
        <v>0</v>
      </c>
    </row>
    <row r="42" customFormat="false" ht="15" hidden="false" customHeight="true" outlineLevel="0" collapsed="false">
      <c r="A42" s="8" t="s">
        <v>73</v>
      </c>
      <c r="B42" s="9" t="s">
        <v>57</v>
      </c>
      <c r="C42" s="9" t="s">
        <v>74</v>
      </c>
      <c r="D42" s="10" t="s">
        <v>14</v>
      </c>
      <c r="E42" s="11" t="s">
        <v>75</v>
      </c>
      <c r="F42" s="12" t="n">
        <v>5</v>
      </c>
      <c r="G42" s="13" t="n">
        <v>33.99</v>
      </c>
      <c r="H42" s="13" t="n">
        <f aca="false">F42*G42</f>
        <v>169.95</v>
      </c>
    </row>
    <row r="43" customFormat="false" ht="15" hidden="false" customHeight="true" outlineLevel="0" collapsed="false">
      <c r="A43" s="8" t="s">
        <v>76</v>
      </c>
      <c r="B43" s="9" t="s">
        <v>57</v>
      </c>
      <c r="C43" s="9" t="s">
        <v>77</v>
      </c>
      <c r="D43" s="10" t="s">
        <v>14</v>
      </c>
      <c r="E43" s="11" t="s">
        <v>78</v>
      </c>
      <c r="F43" s="12" t="n">
        <v>3</v>
      </c>
      <c r="G43" s="13" t="n">
        <v>0</v>
      </c>
      <c r="H43" s="13" t="n">
        <f aca="false">F43*G43</f>
        <v>0</v>
      </c>
    </row>
    <row r="44" customFormat="false" ht="15" hidden="false" customHeight="true" outlineLevel="0" collapsed="false">
      <c r="A44" s="8" t="s">
        <v>79</v>
      </c>
      <c r="B44" s="9" t="s">
        <v>57</v>
      </c>
      <c r="C44" s="9" t="s">
        <v>80</v>
      </c>
      <c r="D44" s="10" t="s">
        <v>14</v>
      </c>
      <c r="E44" s="11" t="s">
        <v>81</v>
      </c>
      <c r="F44" s="12" t="n">
        <v>1</v>
      </c>
      <c r="G44" s="13" t="n">
        <v>0</v>
      </c>
      <c r="H44" s="13" t="n">
        <f aca="false">F44*G44</f>
        <v>0</v>
      </c>
    </row>
    <row r="45" customFormat="false" ht="15" hidden="false" customHeight="true" outlineLevel="0" collapsed="false">
      <c r="A45" s="8" t="s">
        <v>82</v>
      </c>
      <c r="B45" s="9" t="s">
        <v>57</v>
      </c>
      <c r="C45" s="9" t="s">
        <v>83</v>
      </c>
      <c r="D45" s="10" t="s">
        <v>14</v>
      </c>
      <c r="E45" s="11" t="s">
        <v>81</v>
      </c>
      <c r="F45" s="12" t="n">
        <v>5</v>
      </c>
      <c r="G45" s="13" t="n">
        <v>0</v>
      </c>
      <c r="H45" s="13" t="n">
        <f aca="false">F45*G45</f>
        <v>0</v>
      </c>
    </row>
    <row r="46" customFormat="false" ht="15" hidden="false" customHeight="true" outlineLevel="0" collapsed="false">
      <c r="A46" s="8" t="s">
        <v>84</v>
      </c>
      <c r="B46" s="9" t="s">
        <v>57</v>
      </c>
      <c r="C46" s="9" t="s">
        <v>85</v>
      </c>
      <c r="D46" s="10" t="s">
        <v>14</v>
      </c>
      <c r="E46" s="11" t="s">
        <v>86</v>
      </c>
      <c r="F46" s="12" t="n">
        <v>1</v>
      </c>
      <c r="G46" s="13" t="n">
        <v>39.6</v>
      </c>
      <c r="H46" s="13" t="n">
        <f aca="false">F46*G46</f>
        <v>39.6</v>
      </c>
    </row>
    <row r="47" customFormat="false" ht="15" hidden="false" customHeight="true" outlineLevel="0" collapsed="false">
      <c r="A47" s="14" t="s">
        <v>28</v>
      </c>
      <c r="B47" s="15"/>
      <c r="C47" s="15"/>
      <c r="D47" s="15"/>
      <c r="E47" s="15"/>
      <c r="F47" s="15"/>
      <c r="G47" s="15"/>
      <c r="H47" s="16" t="n">
        <f aca="false">SUM(H41:H46)</f>
        <v>209.55</v>
      </c>
    </row>
    <row r="49" customFormat="false" ht="15" hidden="false" customHeight="true" outlineLevel="0" collapsed="false">
      <c r="A49" s="4" t="s">
        <v>87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 t="s">
        <v>3</v>
      </c>
      <c r="B50" s="6" t="s">
        <v>4</v>
      </c>
      <c r="C50" s="6" t="s">
        <v>5</v>
      </c>
      <c r="D50" s="6" t="s">
        <v>6</v>
      </c>
      <c r="E50" s="6" t="s">
        <v>7</v>
      </c>
      <c r="F50" s="7" t="s">
        <v>8</v>
      </c>
      <c r="G50" s="7" t="s">
        <v>9</v>
      </c>
      <c r="H50" s="7" t="s">
        <v>10</v>
      </c>
    </row>
    <row r="51" customFormat="false" ht="15" hidden="false" customHeight="true" outlineLevel="0" collapsed="false">
      <c r="A51" s="8" t="s">
        <v>88</v>
      </c>
      <c r="B51" s="9" t="s">
        <v>12</v>
      </c>
      <c r="C51" s="9" t="s">
        <v>89</v>
      </c>
      <c r="D51" s="10" t="s">
        <v>14</v>
      </c>
      <c r="E51" s="11" t="s">
        <v>90</v>
      </c>
      <c r="F51" s="12" t="n">
        <v>1</v>
      </c>
      <c r="G51" s="13" t="n">
        <v>49.99</v>
      </c>
      <c r="H51" s="13" t="n">
        <f aca="false">F51*G51</f>
        <v>49.99</v>
      </c>
    </row>
    <row r="52" customFormat="false" ht="15" hidden="false" customHeight="true" outlineLevel="0" collapsed="false">
      <c r="A52" s="8" t="s">
        <v>91</v>
      </c>
      <c r="B52" s="9" t="s">
        <v>92</v>
      </c>
      <c r="C52" s="9" t="s">
        <v>93</v>
      </c>
      <c r="D52" s="10" t="s">
        <v>14</v>
      </c>
      <c r="E52" s="11" t="s">
        <v>94</v>
      </c>
      <c r="F52" s="12" t="n">
        <v>1</v>
      </c>
      <c r="G52" s="13" t="n">
        <v>49.99</v>
      </c>
      <c r="H52" s="13" t="n">
        <f aca="false">F52*G52</f>
        <v>49.99</v>
      </c>
    </row>
    <row r="53" customFormat="false" ht="15" hidden="false" customHeight="true" outlineLevel="0" collapsed="false">
      <c r="A53" s="8" t="s">
        <v>95</v>
      </c>
      <c r="B53" s="9" t="s">
        <v>12</v>
      </c>
      <c r="C53" s="9" t="s">
        <v>96</v>
      </c>
      <c r="D53" s="10" t="s">
        <v>14</v>
      </c>
      <c r="E53" s="11" t="s">
        <v>90</v>
      </c>
      <c r="F53" s="12" t="n">
        <v>1</v>
      </c>
      <c r="G53" s="13" t="n">
        <v>16.99</v>
      </c>
      <c r="H53" s="13" t="n">
        <f aca="false">F53*G53</f>
        <v>16.99</v>
      </c>
    </row>
    <row r="54" customFormat="false" ht="15" hidden="false" customHeight="true" outlineLevel="0" collapsed="false">
      <c r="A54" s="8" t="s">
        <v>97</v>
      </c>
      <c r="B54" s="9" t="s">
        <v>12</v>
      </c>
      <c r="C54" s="9" t="s">
        <v>98</v>
      </c>
      <c r="D54" s="10" t="s">
        <v>14</v>
      </c>
      <c r="E54" s="11" t="s">
        <v>90</v>
      </c>
      <c r="F54" s="12" t="n">
        <v>1</v>
      </c>
      <c r="G54" s="13" t="n">
        <v>28.79</v>
      </c>
      <c r="H54" s="13" t="n">
        <f aca="false">F54*G54</f>
        <v>28.79</v>
      </c>
    </row>
    <row r="55" customFormat="false" ht="15" hidden="false" customHeight="true" outlineLevel="0" collapsed="false">
      <c r="A55" s="8" t="s">
        <v>99</v>
      </c>
      <c r="B55" s="9" t="s">
        <v>12</v>
      </c>
      <c r="C55" s="9" t="s">
        <v>100</v>
      </c>
      <c r="D55" s="10" t="s">
        <v>14</v>
      </c>
      <c r="E55" s="11" t="s">
        <v>101</v>
      </c>
      <c r="F55" s="12" t="n">
        <v>1</v>
      </c>
      <c r="G55" s="13" t="n">
        <v>17.99</v>
      </c>
      <c r="H55" s="13" t="n">
        <f aca="false">F55*G55</f>
        <v>17.99</v>
      </c>
    </row>
    <row r="56" customFormat="false" ht="15" hidden="false" customHeight="true" outlineLevel="0" collapsed="false">
      <c r="A56" s="14" t="s">
        <v>28</v>
      </c>
      <c r="B56" s="15"/>
      <c r="C56" s="15"/>
      <c r="D56" s="15"/>
      <c r="E56" s="15"/>
      <c r="F56" s="15"/>
      <c r="G56" s="15"/>
      <c r="H56" s="16" t="n">
        <f aca="false">SUM(H51:H55)</f>
        <v>163.75</v>
      </c>
    </row>
    <row r="58" customFormat="false" ht="15" hidden="false" customHeight="true" outlineLevel="0" collapsed="false">
      <c r="A58" s="4" t="s">
        <v>102</v>
      </c>
      <c r="B58" s="5"/>
      <c r="C58" s="5"/>
      <c r="D58" s="5"/>
      <c r="E58" s="5"/>
      <c r="F58" s="5"/>
      <c r="G58" s="5"/>
      <c r="H58" s="5"/>
    </row>
    <row r="59" customFormat="false" ht="15" hidden="false" customHeight="true" outlineLevel="0" collapsed="false">
      <c r="A59" s="6" t="s">
        <v>3</v>
      </c>
      <c r="B59" s="6" t="s">
        <v>4</v>
      </c>
      <c r="C59" s="6" t="s">
        <v>5</v>
      </c>
      <c r="D59" s="6" t="s">
        <v>6</v>
      </c>
      <c r="E59" s="6" t="s">
        <v>7</v>
      </c>
      <c r="F59" s="7" t="s">
        <v>8</v>
      </c>
      <c r="G59" s="7" t="s">
        <v>9</v>
      </c>
      <c r="H59" s="7" t="s">
        <v>10</v>
      </c>
    </row>
    <row r="60" customFormat="false" ht="15" hidden="false" customHeight="true" outlineLevel="0" collapsed="false">
      <c r="A60" s="8" t="s">
        <v>103</v>
      </c>
      <c r="B60" s="9" t="s">
        <v>12</v>
      </c>
      <c r="C60" s="9" t="s">
        <v>104</v>
      </c>
      <c r="D60" s="10" t="s">
        <v>14</v>
      </c>
      <c r="E60" s="11" t="s">
        <v>22</v>
      </c>
      <c r="F60" s="12" t="n">
        <v>1</v>
      </c>
      <c r="G60" s="13" t="n">
        <v>0</v>
      </c>
      <c r="H60" s="13" t="n">
        <f aca="false">F60*G60</f>
        <v>0</v>
      </c>
    </row>
    <row r="61" customFormat="false" ht="15" hidden="false" customHeight="true" outlineLevel="0" collapsed="false">
      <c r="A61" s="8" t="s">
        <v>105</v>
      </c>
      <c r="B61" s="9" t="s">
        <v>12</v>
      </c>
      <c r="C61" s="9" t="s">
        <v>106</v>
      </c>
      <c r="D61" s="10" t="s">
        <v>14</v>
      </c>
      <c r="E61" s="11" t="s">
        <v>22</v>
      </c>
      <c r="F61" s="12" t="n">
        <v>1</v>
      </c>
      <c r="G61" s="13" t="n">
        <v>0</v>
      </c>
      <c r="H61" s="13" t="n">
        <f aca="false">F61*G61</f>
        <v>0</v>
      </c>
    </row>
    <row r="62" customFormat="false" ht="15" hidden="false" customHeight="true" outlineLevel="0" collapsed="false">
      <c r="A62" s="8" t="s">
        <v>107</v>
      </c>
      <c r="B62" s="9" t="s">
        <v>12</v>
      </c>
      <c r="C62" s="9" t="s">
        <v>108</v>
      </c>
      <c r="D62" s="10" t="s">
        <v>14</v>
      </c>
      <c r="E62" s="11" t="s">
        <v>109</v>
      </c>
      <c r="F62" s="12" t="n">
        <v>1</v>
      </c>
      <c r="G62" s="13" t="n">
        <v>19.99</v>
      </c>
      <c r="H62" s="13" t="n">
        <f aca="false">F62*G62</f>
        <v>19.99</v>
      </c>
    </row>
    <row r="63" customFormat="false" ht="15" hidden="false" customHeight="true" outlineLevel="0" collapsed="false">
      <c r="A63" s="8" t="s">
        <v>110</v>
      </c>
      <c r="B63" s="9" t="s">
        <v>17</v>
      </c>
      <c r="C63" s="9" t="s">
        <v>111</v>
      </c>
      <c r="D63" s="10" t="s">
        <v>14</v>
      </c>
      <c r="E63" s="11" t="s">
        <v>22</v>
      </c>
      <c r="F63" s="12" t="n">
        <v>5</v>
      </c>
      <c r="G63" s="13" t="n">
        <v>0</v>
      </c>
      <c r="H63" s="13" t="n">
        <f aca="false">F63*G63</f>
        <v>0</v>
      </c>
    </row>
    <row r="64" customFormat="false" ht="15" hidden="false" customHeight="true" outlineLevel="0" collapsed="false">
      <c r="A64" s="8" t="s">
        <v>112</v>
      </c>
      <c r="B64" s="9" t="s">
        <v>17</v>
      </c>
      <c r="C64" s="9" t="s">
        <v>113</v>
      </c>
      <c r="D64" s="10" t="s">
        <v>14</v>
      </c>
      <c r="E64" s="11" t="s">
        <v>22</v>
      </c>
      <c r="F64" s="12" t="n">
        <v>1</v>
      </c>
      <c r="G64" s="13" t="n">
        <v>0</v>
      </c>
      <c r="H64" s="13" t="n">
        <f aca="false">F64*G64</f>
        <v>0</v>
      </c>
    </row>
    <row r="65" customFormat="false" ht="15" hidden="false" customHeight="true" outlineLevel="0" collapsed="false">
      <c r="A65" s="8" t="s">
        <v>114</v>
      </c>
      <c r="B65" s="9" t="s">
        <v>17</v>
      </c>
      <c r="C65" s="9" t="s">
        <v>115</v>
      </c>
      <c r="D65" s="10" t="s">
        <v>14</v>
      </c>
      <c r="E65" s="11" t="s">
        <v>22</v>
      </c>
      <c r="F65" s="12" t="n">
        <v>1</v>
      </c>
      <c r="G65" s="13" t="n">
        <v>0</v>
      </c>
      <c r="H65" s="13" t="n">
        <f aca="false">F65*G65</f>
        <v>0</v>
      </c>
    </row>
    <row r="66" customFormat="false" ht="15" hidden="false" customHeight="true" outlineLevel="0" collapsed="false">
      <c r="A66" s="8" t="s">
        <v>116</v>
      </c>
      <c r="B66" s="9" t="s">
        <v>17</v>
      </c>
      <c r="C66" s="9" t="s">
        <v>117</v>
      </c>
      <c r="D66" s="10" t="s">
        <v>14</v>
      </c>
      <c r="E66" s="11" t="s">
        <v>22</v>
      </c>
      <c r="F66" s="12" t="n">
        <v>1</v>
      </c>
      <c r="G66" s="13" t="n">
        <v>0</v>
      </c>
      <c r="H66" s="13" t="n">
        <f aca="false">F66*G66</f>
        <v>0</v>
      </c>
    </row>
    <row r="67" customFormat="false" ht="15" hidden="false" customHeight="true" outlineLevel="0" collapsed="false">
      <c r="A67" s="8" t="s">
        <v>118</v>
      </c>
      <c r="B67" s="9" t="s">
        <v>17</v>
      </c>
      <c r="C67" s="9" t="s">
        <v>119</v>
      </c>
      <c r="D67" s="10" t="s">
        <v>14</v>
      </c>
      <c r="E67" s="11" t="s">
        <v>22</v>
      </c>
      <c r="F67" s="12" t="n">
        <v>6</v>
      </c>
      <c r="G67" s="13" t="n">
        <v>0</v>
      </c>
      <c r="H67" s="13" t="n">
        <f aca="false">F67*G67</f>
        <v>0</v>
      </c>
    </row>
    <row r="68" customFormat="false" ht="15" hidden="false" customHeight="true" outlineLevel="0" collapsed="false">
      <c r="A68" s="8" t="s">
        <v>120</v>
      </c>
      <c r="B68" s="9" t="s">
        <v>17</v>
      </c>
      <c r="C68" s="9" t="s">
        <v>121</v>
      </c>
      <c r="D68" s="10" t="s">
        <v>14</v>
      </c>
      <c r="E68" s="11" t="s">
        <v>22</v>
      </c>
      <c r="F68" s="12" t="n">
        <v>2</v>
      </c>
      <c r="G68" s="13" t="n">
        <v>0</v>
      </c>
      <c r="H68" s="13" t="n">
        <f aca="false">F68*G68</f>
        <v>0</v>
      </c>
    </row>
    <row r="69" customFormat="false" ht="15" hidden="false" customHeight="true" outlineLevel="0" collapsed="false">
      <c r="A69" s="8" t="s">
        <v>122</v>
      </c>
      <c r="B69" s="9" t="s">
        <v>17</v>
      </c>
      <c r="C69" s="9" t="s">
        <v>123</v>
      </c>
      <c r="D69" s="10" t="s">
        <v>14</v>
      </c>
      <c r="E69" s="11" t="s">
        <v>22</v>
      </c>
      <c r="F69" s="12" t="n">
        <v>10</v>
      </c>
      <c r="G69" s="13" t="n">
        <v>0</v>
      </c>
      <c r="H69" s="13" t="n">
        <f aca="false">F69*G69</f>
        <v>0</v>
      </c>
    </row>
    <row r="70" customFormat="false" ht="15" hidden="false" customHeight="true" outlineLevel="0" collapsed="false">
      <c r="A70" s="8" t="s">
        <v>124</v>
      </c>
      <c r="B70" s="9" t="s">
        <v>17</v>
      </c>
      <c r="C70" s="9" t="s">
        <v>125</v>
      </c>
      <c r="D70" s="10" t="s">
        <v>14</v>
      </c>
      <c r="E70" s="11" t="s">
        <v>22</v>
      </c>
      <c r="F70" s="12" t="n">
        <v>2</v>
      </c>
      <c r="G70" s="13" t="n">
        <v>0</v>
      </c>
      <c r="H70" s="13" t="n">
        <f aca="false">F70*G70</f>
        <v>0</v>
      </c>
    </row>
    <row r="71" customFormat="false" ht="15" hidden="false" customHeight="true" outlineLevel="0" collapsed="false">
      <c r="A71" s="8" t="s">
        <v>126</v>
      </c>
      <c r="B71" s="9" t="s">
        <v>17</v>
      </c>
      <c r="C71" s="9" t="s">
        <v>127</v>
      </c>
      <c r="D71" s="10" t="s">
        <v>14</v>
      </c>
      <c r="E71" s="11" t="s">
        <v>128</v>
      </c>
      <c r="F71" s="12" t="n">
        <v>1</v>
      </c>
      <c r="G71" s="13" t="n">
        <v>1.5</v>
      </c>
      <c r="H71" s="13" t="n">
        <f aca="false">F71*G71</f>
        <v>1.5</v>
      </c>
    </row>
    <row r="72" customFormat="false" ht="15" hidden="false" customHeight="true" outlineLevel="0" collapsed="false">
      <c r="A72" s="8" t="s">
        <v>129</v>
      </c>
      <c r="B72" s="9" t="s">
        <v>17</v>
      </c>
      <c r="C72" s="9" t="s">
        <v>130</v>
      </c>
      <c r="D72" s="10" t="s">
        <v>14</v>
      </c>
      <c r="E72" s="11" t="s">
        <v>131</v>
      </c>
      <c r="F72" s="12" t="n">
        <v>1</v>
      </c>
      <c r="G72" s="13" t="n">
        <v>0</v>
      </c>
      <c r="H72" s="13" t="n">
        <f aca="false">F72*G72</f>
        <v>0</v>
      </c>
    </row>
    <row r="73" customFormat="false" ht="15" hidden="false" customHeight="true" outlineLevel="0" collapsed="false">
      <c r="A73" s="1" t="s">
        <v>132</v>
      </c>
      <c r="B73" s="1" t="s">
        <v>17</v>
      </c>
      <c r="C73" s="1" t="s">
        <v>133</v>
      </c>
      <c r="D73" s="1" t="s">
        <v>14</v>
      </c>
      <c r="E73" s="1" t="s">
        <v>22</v>
      </c>
      <c r="F73" s="1" t="n">
        <v>1</v>
      </c>
      <c r="G73" s="1" t="n">
        <v>0</v>
      </c>
      <c r="H73" s="1" t="n">
        <f aca="false">F73*G73</f>
        <v>0</v>
      </c>
    </row>
    <row r="74" customFormat="false" ht="15" hidden="false" customHeight="true" outlineLevel="0" collapsed="false">
      <c r="A74" s="1" t="s">
        <v>134</v>
      </c>
      <c r="B74" s="1" t="s">
        <v>135</v>
      </c>
      <c r="C74" s="1" t="s">
        <v>136</v>
      </c>
      <c r="D74" s="1" t="s">
        <v>14</v>
      </c>
      <c r="E74" s="1" t="s">
        <v>22</v>
      </c>
      <c r="F74" s="1" t="n">
        <v>1</v>
      </c>
      <c r="G74" s="1" t="n">
        <v>0</v>
      </c>
      <c r="H74" s="1" t="n">
        <f aca="false">F74*G74</f>
        <v>0</v>
      </c>
    </row>
    <row r="75" customFormat="false" ht="15" hidden="false" customHeight="true" outlineLevel="0" collapsed="false">
      <c r="A75" s="1" t="s">
        <v>137</v>
      </c>
      <c r="B75" s="1" t="s">
        <v>12</v>
      </c>
      <c r="C75" s="1" t="s">
        <v>138</v>
      </c>
      <c r="D75" s="1" t="s">
        <v>14</v>
      </c>
      <c r="E75" s="1" t="s">
        <v>22</v>
      </c>
      <c r="F75" s="1" t="n">
        <v>1</v>
      </c>
      <c r="G75" s="1" t="n">
        <v>0</v>
      </c>
      <c r="H75" s="1" t="n">
        <f aca="false">F75*G75</f>
        <v>0</v>
      </c>
    </row>
    <row r="76" customFormat="false" ht="15" hidden="false" customHeight="true" outlineLevel="0" collapsed="false">
      <c r="A76" s="1" t="s">
        <v>139</v>
      </c>
      <c r="B76" s="1" t="s">
        <v>12</v>
      </c>
      <c r="C76" s="1" t="s">
        <v>140</v>
      </c>
      <c r="D76" s="1" t="s">
        <v>14</v>
      </c>
      <c r="E76" s="1" t="s">
        <v>22</v>
      </c>
      <c r="F76" s="1" t="n">
        <v>1</v>
      </c>
      <c r="G76" s="1" t="n">
        <v>0</v>
      </c>
      <c r="H76" s="1" t="n">
        <f aca="false">F76*G76</f>
        <v>0</v>
      </c>
    </row>
    <row r="77" customFormat="false" ht="15" hidden="false" customHeight="true" outlineLevel="0" collapsed="false">
      <c r="A77" s="1" t="s">
        <v>141</v>
      </c>
      <c r="B77" s="1" t="s">
        <v>142</v>
      </c>
      <c r="C77" s="1" t="s">
        <v>143</v>
      </c>
      <c r="D77" s="1" t="s">
        <v>14</v>
      </c>
      <c r="E77" s="1" t="s">
        <v>22</v>
      </c>
      <c r="F77" s="1" t="n">
        <v>1</v>
      </c>
      <c r="G77" s="1" t="n">
        <v>0</v>
      </c>
      <c r="H77" s="1" t="n">
        <f aca="false">F77*G77</f>
        <v>0</v>
      </c>
    </row>
    <row r="78" customFormat="false" ht="15" hidden="false" customHeight="true" outlineLevel="0" collapsed="false">
      <c r="A78" s="1" t="s">
        <v>144</v>
      </c>
      <c r="B78" s="1" t="s">
        <v>17</v>
      </c>
      <c r="C78" s="1" t="s">
        <v>21</v>
      </c>
      <c r="D78" s="1" t="s">
        <v>14</v>
      </c>
      <c r="E78" s="1" t="s">
        <v>145</v>
      </c>
      <c r="F78" s="1" t="n">
        <v>2</v>
      </c>
      <c r="G78" s="1" t="n">
        <v>0</v>
      </c>
      <c r="H78" s="1" t="n">
        <f aca="false">F78*G78</f>
        <v>0</v>
      </c>
    </row>
    <row r="79" customFormat="false" ht="15" hidden="false" customHeight="true" outlineLevel="0" collapsed="false">
      <c r="A79" s="1" t="s">
        <v>146</v>
      </c>
      <c r="B79" s="1" t="s">
        <v>12</v>
      </c>
      <c r="C79" s="1" t="s">
        <v>147</v>
      </c>
      <c r="D79" s="1" t="s">
        <v>14</v>
      </c>
      <c r="E79" s="1" t="s">
        <v>148</v>
      </c>
      <c r="F79" s="1" t="n">
        <v>1</v>
      </c>
      <c r="G79" s="1" t="n">
        <v>0</v>
      </c>
      <c r="H79" s="1" t="n">
        <f aca="false">F79*G79</f>
        <v>0</v>
      </c>
    </row>
    <row r="80" customFormat="false" ht="15" hidden="false" customHeight="true" outlineLevel="0" collapsed="false">
      <c r="A80" s="1" t="s">
        <v>149</v>
      </c>
      <c r="B80" s="1" t="s">
        <v>12</v>
      </c>
      <c r="C80" s="1" t="s">
        <v>150</v>
      </c>
      <c r="D80" s="1" t="s">
        <v>14</v>
      </c>
      <c r="E80" s="1" t="s">
        <v>151</v>
      </c>
      <c r="F80" s="1" t="n">
        <v>2</v>
      </c>
      <c r="G80" s="1" t="n">
        <v>0</v>
      </c>
      <c r="H80" s="1" t="n">
        <f aca="false">F80*G80</f>
        <v>0</v>
      </c>
    </row>
    <row r="81" customFormat="false" ht="15" hidden="false" customHeight="true" outlineLevel="0" collapsed="false">
      <c r="A81" s="1" t="s">
        <v>152</v>
      </c>
      <c r="B81" s="1" t="s">
        <v>12</v>
      </c>
      <c r="C81" s="1" t="s">
        <v>153</v>
      </c>
      <c r="D81" s="1" t="s">
        <v>14</v>
      </c>
      <c r="E81" s="1" t="s">
        <v>154</v>
      </c>
      <c r="F81" s="1" t="n">
        <v>1</v>
      </c>
      <c r="G81" s="1" t="n">
        <v>0</v>
      </c>
      <c r="H81" s="1" t="n">
        <f aca="false">F81*G81</f>
        <v>0</v>
      </c>
    </row>
    <row r="82" customFormat="false" ht="15" hidden="false" customHeight="true" outlineLevel="0" collapsed="false">
      <c r="A82" s="1" t="s">
        <v>155</v>
      </c>
      <c r="B82" s="1" t="s">
        <v>156</v>
      </c>
      <c r="C82" s="1" t="s">
        <v>157</v>
      </c>
      <c r="D82" s="1" t="s">
        <v>14</v>
      </c>
      <c r="E82" s="1" t="s">
        <v>158</v>
      </c>
      <c r="F82" s="1" t="n">
        <v>1</v>
      </c>
      <c r="G82" s="1" t="n">
        <v>0</v>
      </c>
      <c r="H82" s="1" t="n">
        <f aca="false">F82*G82</f>
        <v>0</v>
      </c>
    </row>
    <row r="83" customFormat="false" ht="15" hidden="false" customHeight="true" outlineLevel="0" collapsed="false">
      <c r="A83" s="1" t="s">
        <v>159</v>
      </c>
      <c r="B83" s="1" t="s">
        <v>12</v>
      </c>
      <c r="C83" s="1" t="s">
        <v>160</v>
      </c>
      <c r="D83" s="1" t="s">
        <v>14</v>
      </c>
      <c r="E83" s="1" t="s">
        <v>161</v>
      </c>
      <c r="F83" s="1" t="n">
        <v>1</v>
      </c>
      <c r="G83" s="1" t="n">
        <v>0</v>
      </c>
      <c r="H83" s="1" t="n">
        <f aca="false">F83*G83</f>
        <v>0</v>
      </c>
    </row>
    <row r="84" customFormat="false" ht="15" hidden="false" customHeight="true" outlineLevel="0" collapsed="false">
      <c r="A84" s="14" t="s">
        <v>28</v>
      </c>
      <c r="B84" s="15"/>
      <c r="C84" s="15"/>
      <c r="D84" s="15" t="s">
        <v>162</v>
      </c>
      <c r="E84" s="15"/>
      <c r="F84" s="15"/>
      <c r="G84" s="15"/>
      <c r="H84" s="16" t="n">
        <f aca="false">SUM(H60:H83)</f>
        <v>21.49</v>
      </c>
    </row>
    <row r="85" customFormat="false" ht="15" hidden="false" customHeight="true" outlineLevel="0" collapsed="false">
      <c r="D85" s="1" t="s">
        <v>163</v>
      </c>
    </row>
    <row r="86" customFormat="false" ht="15" hidden="false" customHeight="true" outlineLevel="0" collapsed="false">
      <c r="A86" s="4" t="s">
        <v>164</v>
      </c>
      <c r="B86" s="5"/>
      <c r="C86" s="5"/>
      <c r="D86" s="5" t="s">
        <v>165</v>
      </c>
      <c r="E86" s="5"/>
      <c r="F86" s="5"/>
      <c r="G86" s="5"/>
      <c r="H86" s="5"/>
    </row>
    <row r="87" customFormat="false" ht="15" hidden="false" customHeight="true" outlineLevel="0" collapsed="false">
      <c r="A87" s="6" t="s">
        <v>3</v>
      </c>
      <c r="B87" s="6" t="s">
        <v>4</v>
      </c>
      <c r="C87" s="6" t="s">
        <v>5</v>
      </c>
      <c r="D87" s="6" t="s">
        <v>6</v>
      </c>
      <c r="E87" s="6" t="s">
        <v>7</v>
      </c>
      <c r="F87" s="7" t="s">
        <v>8</v>
      </c>
      <c r="G87" s="7" t="s">
        <v>9</v>
      </c>
      <c r="H87" s="7" t="s">
        <v>10</v>
      </c>
    </row>
    <row r="88" customFormat="false" ht="15" hidden="false" customHeight="true" outlineLevel="0" collapsed="false">
      <c r="A88" s="8" t="s">
        <v>166</v>
      </c>
      <c r="B88" s="9" t="s">
        <v>17</v>
      </c>
      <c r="C88" s="9" t="s">
        <v>167</v>
      </c>
      <c r="D88" s="10" t="s">
        <v>14</v>
      </c>
      <c r="E88" s="11" t="s">
        <v>168</v>
      </c>
      <c r="F88" s="12" t="n">
        <v>2</v>
      </c>
      <c r="G88" s="13" t="n">
        <v>3.95</v>
      </c>
      <c r="H88" s="13" t="n">
        <f aca="false">F88*G88</f>
        <v>7.9</v>
      </c>
    </row>
    <row r="89" customFormat="false" ht="15" hidden="false" customHeight="true" outlineLevel="0" collapsed="false">
      <c r="A89" s="8" t="s">
        <v>169</v>
      </c>
      <c r="B89" s="9" t="s">
        <v>17</v>
      </c>
      <c r="C89" s="9" t="s">
        <v>170</v>
      </c>
      <c r="D89" s="10" t="s">
        <v>14</v>
      </c>
      <c r="E89" s="11" t="s">
        <v>168</v>
      </c>
      <c r="F89" s="12" t="n">
        <v>2</v>
      </c>
      <c r="G89" s="13" t="n">
        <v>3.95</v>
      </c>
      <c r="H89" s="13" t="n">
        <f aca="false">F89*G89</f>
        <v>7.9</v>
      </c>
    </row>
    <row r="90" customFormat="false" ht="15" hidden="false" customHeight="true" outlineLevel="0" collapsed="false">
      <c r="A90" s="8" t="s">
        <v>171</v>
      </c>
      <c r="B90" s="9" t="s">
        <v>12</v>
      </c>
      <c r="C90" s="9" t="s">
        <v>172</v>
      </c>
      <c r="D90" s="10" t="s">
        <v>14</v>
      </c>
      <c r="E90" s="11" t="s">
        <v>173</v>
      </c>
      <c r="F90" s="12" t="n">
        <v>3</v>
      </c>
      <c r="G90" s="13" t="n">
        <v>6.79</v>
      </c>
      <c r="H90" s="13" t="n">
        <f aca="false">F90*G90</f>
        <v>20.37</v>
      </c>
    </row>
    <row r="91" customFormat="false" ht="15" hidden="false" customHeight="true" outlineLevel="0" collapsed="false">
      <c r="A91" s="8" t="s">
        <v>174</v>
      </c>
      <c r="B91" s="9" t="s">
        <v>17</v>
      </c>
      <c r="C91" s="9" t="s">
        <v>175</v>
      </c>
      <c r="D91" s="10" t="s">
        <v>14</v>
      </c>
      <c r="E91" s="11" t="s">
        <v>22</v>
      </c>
      <c r="F91" s="12" t="n">
        <v>1</v>
      </c>
      <c r="G91" s="13" t="n">
        <v>0</v>
      </c>
      <c r="H91" s="13" t="n">
        <f aca="false">F91*G91</f>
        <v>0</v>
      </c>
    </row>
    <row r="92" customFormat="false" ht="15" hidden="false" customHeight="true" outlineLevel="0" collapsed="false">
      <c r="A92" s="8" t="s">
        <v>176</v>
      </c>
      <c r="B92" s="9" t="s">
        <v>12</v>
      </c>
      <c r="C92" s="9" t="s">
        <v>177</v>
      </c>
      <c r="D92" s="10" t="s">
        <v>14</v>
      </c>
      <c r="E92" s="11" t="s">
        <v>178</v>
      </c>
      <c r="F92" s="12" t="n">
        <v>1</v>
      </c>
      <c r="G92" s="13" t="n">
        <v>0</v>
      </c>
      <c r="H92" s="13" t="n">
        <f aca="false">F92*G92</f>
        <v>0</v>
      </c>
    </row>
    <row r="93" customFormat="false" ht="15" hidden="false" customHeight="true" outlineLevel="0" collapsed="false">
      <c r="A93" s="8" t="s">
        <v>179</v>
      </c>
      <c r="B93" s="9" t="s">
        <v>12</v>
      </c>
      <c r="C93" s="9" t="s">
        <v>180</v>
      </c>
      <c r="D93" s="10" t="s">
        <v>14</v>
      </c>
      <c r="E93" s="11" t="s">
        <v>50</v>
      </c>
      <c r="F93" s="12" t="n">
        <v>1</v>
      </c>
      <c r="G93" s="13" t="n">
        <v>9.99</v>
      </c>
      <c r="H93" s="13" t="n">
        <f aca="false">F93*G93</f>
        <v>9.99</v>
      </c>
    </row>
    <row r="94" customFormat="false" ht="15" hidden="false" customHeight="true" outlineLevel="0" collapsed="false">
      <c r="A94" s="14" t="s">
        <v>28</v>
      </c>
      <c r="B94" s="15"/>
      <c r="C94" s="15"/>
      <c r="D94" s="15"/>
      <c r="E94" s="15"/>
      <c r="F94" s="15"/>
      <c r="G94" s="15"/>
      <c r="H94" s="16" t="n">
        <f aca="false">SUM(H88:H93)</f>
        <v>46.16</v>
      </c>
    </row>
    <row r="95" customFormat="false" ht="15" hidden="false" customHeight="true" outlineLevel="0" collapsed="false"/>
    <row r="96" customFormat="false" ht="15" hidden="false" customHeight="true" outlineLevel="0" collapsed="false">
      <c r="A96" s="17" t="s">
        <v>181</v>
      </c>
      <c r="B96" s="18"/>
      <c r="C96" s="18"/>
      <c r="D96" s="18"/>
      <c r="E96" s="18"/>
      <c r="F96" s="18"/>
      <c r="G96" s="18"/>
      <c r="H96" s="19" t="n">
        <f aca="false">H11+H21+H29+H37+H47+H56+H84+H94+H111+H124</f>
        <v>1206.58</v>
      </c>
    </row>
    <row r="97" customFormat="false" ht="15" hidden="false" customHeight="true" outlineLevel="0" collapsed="false">
      <c r="A97" s="20" t="s">
        <v>182</v>
      </c>
      <c r="H97" s="21" t="n">
        <f aca="false">-39.6</f>
        <v>-39.6</v>
      </c>
    </row>
    <row r="98" customFormat="false" ht="15" hidden="false" customHeight="true" outlineLevel="0" collapsed="false">
      <c r="A98" s="22" t="s">
        <v>183</v>
      </c>
      <c r="B98" s="18"/>
      <c r="C98" s="18"/>
      <c r="D98" s="18"/>
      <c r="E98" s="18"/>
      <c r="F98" s="18"/>
      <c r="G98" s="18"/>
      <c r="H98" s="23" t="n">
        <f aca="false">H96+H97</f>
        <v>1166.98</v>
      </c>
    </row>
    <row r="99" customFormat="false" ht="15" hidden="false" customHeight="true" outlineLevel="0" collapsed="false"/>
    <row r="100" customFormat="false" ht="15" hidden="false" customHeight="true" outlineLevel="0" collapsed="false">
      <c r="A100" s="1" t="s">
        <v>184</v>
      </c>
    </row>
    <row r="101" customFormat="false" ht="15" hidden="false" customHeight="true" outlineLevel="0" collapsed="false">
      <c r="A101" s="1" t="s">
        <v>3</v>
      </c>
      <c r="B101" s="1" t="s">
        <v>4</v>
      </c>
      <c r="C101" s="1" t="s">
        <v>5</v>
      </c>
      <c r="D101" s="1" t="s">
        <v>6</v>
      </c>
      <c r="E101" s="1" t="s">
        <v>7</v>
      </c>
      <c r="F101" s="1" t="s">
        <v>8</v>
      </c>
      <c r="G101" s="1" t="s">
        <v>9</v>
      </c>
      <c r="H101" s="1" t="s">
        <v>10</v>
      </c>
    </row>
    <row r="102" customFormat="false" ht="15" hidden="false" customHeight="true" outlineLevel="0" collapsed="false">
      <c r="A102" s="1" t="s">
        <v>185</v>
      </c>
      <c r="B102" s="1" t="s">
        <v>186</v>
      </c>
      <c r="C102" s="1" t="s">
        <v>187</v>
      </c>
      <c r="D102" s="1" t="s">
        <v>14</v>
      </c>
      <c r="E102" s="1" t="s">
        <v>188</v>
      </c>
      <c r="F102" s="1" t="n">
        <v>3</v>
      </c>
      <c r="G102" s="1" t="n">
        <v>66.6666666666667</v>
      </c>
      <c r="H102" s="1" t="n">
        <f aca="false">F102*G102</f>
        <v>200</v>
      </c>
    </row>
    <row r="103" customFormat="false" ht="15" hidden="false" customHeight="true" outlineLevel="0" collapsed="false">
      <c r="A103" s="1" t="s">
        <v>189</v>
      </c>
      <c r="B103" s="1" t="s">
        <v>12</v>
      </c>
      <c r="C103" s="1" t="s">
        <v>190</v>
      </c>
      <c r="D103" s="1" t="s">
        <v>14</v>
      </c>
      <c r="E103" s="1" t="s">
        <v>50</v>
      </c>
      <c r="F103" s="1" t="n">
        <v>1</v>
      </c>
      <c r="G103" s="1" t="n">
        <v>11.69</v>
      </c>
      <c r="H103" s="1" t="n">
        <f aca="false">F103*G103</f>
        <v>11.69</v>
      </c>
    </row>
    <row r="104" customFormat="false" ht="15" hidden="false" customHeight="true" outlineLevel="0" collapsed="false">
      <c r="A104" s="1" t="s">
        <v>191</v>
      </c>
      <c r="B104" s="1" t="s">
        <v>12</v>
      </c>
      <c r="C104" s="1" t="s">
        <v>192</v>
      </c>
      <c r="D104" s="1" t="s">
        <v>14</v>
      </c>
      <c r="E104" s="1" t="s">
        <v>50</v>
      </c>
      <c r="F104" s="1" t="n">
        <v>1</v>
      </c>
      <c r="G104" s="1" t="n">
        <v>18.59</v>
      </c>
      <c r="H104" s="1" t="n">
        <f aca="false">F104*G104</f>
        <v>18.59</v>
      </c>
    </row>
    <row r="105" customFormat="false" ht="15" hidden="false" customHeight="true" outlineLevel="0" collapsed="false">
      <c r="A105" s="1" t="s">
        <v>193</v>
      </c>
      <c r="B105" s="1" t="s">
        <v>17</v>
      </c>
      <c r="C105" s="1" t="s">
        <v>194</v>
      </c>
      <c r="D105" s="1" t="s">
        <v>14</v>
      </c>
      <c r="E105" s="1" t="s">
        <v>195</v>
      </c>
      <c r="F105" s="1" t="n">
        <v>2</v>
      </c>
      <c r="G105" s="1" t="n">
        <v>1.5</v>
      </c>
      <c r="H105" s="1" t="n">
        <f aca="false">F105*G105</f>
        <v>3</v>
      </c>
    </row>
    <row r="106" customFormat="false" ht="15" hidden="false" customHeight="true" outlineLevel="0" collapsed="false">
      <c r="A106" s="1" t="s">
        <v>196</v>
      </c>
      <c r="B106" s="1" t="s">
        <v>17</v>
      </c>
      <c r="C106" s="1" t="s">
        <v>197</v>
      </c>
      <c r="D106" s="1" t="s">
        <v>14</v>
      </c>
      <c r="E106" s="1" t="s">
        <v>198</v>
      </c>
      <c r="F106" s="1" t="n">
        <v>2</v>
      </c>
      <c r="G106" s="1" t="n">
        <v>3.95</v>
      </c>
      <c r="H106" s="1" t="n">
        <f aca="false">F106*G106</f>
        <v>7.9</v>
      </c>
    </row>
    <row r="107" customFormat="false" ht="15" hidden="false" customHeight="true" outlineLevel="0" collapsed="false">
      <c r="A107" s="1" t="s">
        <v>199</v>
      </c>
      <c r="B107" s="1" t="s">
        <v>17</v>
      </c>
      <c r="C107" s="1" t="s">
        <v>200</v>
      </c>
      <c r="D107" s="1" t="s">
        <v>14</v>
      </c>
      <c r="E107" s="1" t="s">
        <v>201</v>
      </c>
      <c r="F107" s="1" t="n">
        <v>2</v>
      </c>
      <c r="G107" s="1" t="n">
        <v>3.95</v>
      </c>
      <c r="H107" s="1" t="n">
        <f aca="false">F107*G107</f>
        <v>7.9</v>
      </c>
    </row>
    <row r="108" customFormat="false" ht="15" hidden="false" customHeight="true" outlineLevel="0" collapsed="false">
      <c r="A108" s="1" t="s">
        <v>202</v>
      </c>
      <c r="B108" s="1" t="s">
        <v>17</v>
      </c>
      <c r="C108" s="1" t="s">
        <v>203</v>
      </c>
      <c r="D108" s="1" t="s">
        <v>14</v>
      </c>
      <c r="E108" s="1" t="s">
        <v>204</v>
      </c>
      <c r="F108" s="1" t="n">
        <v>1</v>
      </c>
      <c r="G108" s="1" t="n">
        <v>0</v>
      </c>
      <c r="H108" s="1" t="n">
        <f aca="false">F108*G108</f>
        <v>0</v>
      </c>
    </row>
    <row r="109" customFormat="false" ht="15" hidden="false" customHeight="true" outlineLevel="0" collapsed="false">
      <c r="A109" s="1" t="s">
        <v>205</v>
      </c>
      <c r="B109" s="1" t="s">
        <v>57</v>
      </c>
      <c r="C109" s="1" t="s">
        <v>206</v>
      </c>
      <c r="D109" s="1" t="s">
        <v>14</v>
      </c>
      <c r="E109" s="1" t="s">
        <v>50</v>
      </c>
      <c r="F109" s="1" t="n">
        <v>1</v>
      </c>
      <c r="G109" s="1" t="n">
        <v>8.35</v>
      </c>
      <c r="H109" s="1" t="n">
        <f aca="false">F109*G109</f>
        <v>8.35</v>
      </c>
    </row>
    <row r="110" customFormat="false" ht="15" hidden="false" customHeight="true" outlineLevel="0" collapsed="false">
      <c r="A110" s="1" t="s">
        <v>207</v>
      </c>
      <c r="B110" s="1" t="s">
        <v>57</v>
      </c>
      <c r="C110" s="1" t="s">
        <v>208</v>
      </c>
      <c r="D110" s="1" t="s">
        <v>14</v>
      </c>
      <c r="E110" s="1" t="s">
        <v>209</v>
      </c>
      <c r="F110" s="1" t="n">
        <v>4</v>
      </c>
      <c r="G110" s="1" t="n">
        <v>9</v>
      </c>
      <c r="H110" s="1" t="n">
        <f aca="false">F110*G110</f>
        <v>36</v>
      </c>
    </row>
    <row r="111" customFormat="false" ht="15" hidden="false" customHeight="true" outlineLevel="0" collapsed="false">
      <c r="A111" s="1" t="s">
        <v>28</v>
      </c>
      <c r="H111" s="1" t="n">
        <f aca="false">SUM(H102:H110)</f>
        <v>293.43</v>
      </c>
    </row>
    <row r="113" customFormat="false" ht="15" hidden="false" customHeight="true" outlineLevel="0" collapsed="false">
      <c r="A113" s="1" t="s">
        <v>210</v>
      </c>
    </row>
    <row r="114" customFormat="false" ht="15" hidden="false" customHeight="true" outlineLevel="0" collapsed="false">
      <c r="A114" s="1" t="s">
        <v>3</v>
      </c>
      <c r="B114" s="1" t="s">
        <v>4</v>
      </c>
      <c r="C114" s="1" t="s">
        <v>5</v>
      </c>
      <c r="D114" s="1" t="s">
        <v>6</v>
      </c>
      <c r="E114" s="1" t="s">
        <v>7</v>
      </c>
      <c r="F114" s="1" t="s">
        <v>8</v>
      </c>
      <c r="G114" s="1" t="s">
        <v>9</v>
      </c>
      <c r="H114" s="1" t="s">
        <v>10</v>
      </c>
    </row>
    <row r="115" customFormat="false" ht="15" hidden="false" customHeight="true" outlineLevel="0" collapsed="false">
      <c r="A115" s="1" t="s">
        <v>211</v>
      </c>
      <c r="B115" s="1" t="s">
        <v>12</v>
      </c>
      <c r="C115" s="1" t="s">
        <v>212</v>
      </c>
      <c r="D115" s="1" t="s">
        <v>14</v>
      </c>
      <c r="E115" s="1" t="s">
        <v>213</v>
      </c>
      <c r="F115" s="1" t="n">
        <v>1</v>
      </c>
      <c r="G115" s="1" t="n">
        <v>0</v>
      </c>
      <c r="H115" s="1" t="n">
        <f aca="false">F115*G115</f>
        <v>0</v>
      </c>
    </row>
    <row r="116" customFormat="false" ht="15" hidden="false" customHeight="true" outlineLevel="0" collapsed="false">
      <c r="A116" s="1" t="s">
        <v>214</v>
      </c>
      <c r="B116" s="1" t="s">
        <v>12</v>
      </c>
      <c r="C116" s="1" t="s">
        <v>215</v>
      </c>
      <c r="D116" s="1" t="s">
        <v>14</v>
      </c>
      <c r="E116" s="1" t="s">
        <v>216</v>
      </c>
      <c r="F116" s="1" t="n">
        <v>1</v>
      </c>
      <c r="G116" s="1" t="n">
        <v>8.99</v>
      </c>
      <c r="H116" s="1" t="n">
        <f aca="false">F116*G116</f>
        <v>8.99</v>
      </c>
    </row>
    <row r="117" customFormat="false" ht="15" hidden="false" customHeight="true" outlineLevel="0" collapsed="false">
      <c r="A117" s="1" t="s">
        <v>217</v>
      </c>
      <c r="B117" s="1" t="s">
        <v>12</v>
      </c>
      <c r="C117" s="1" t="s">
        <v>218</v>
      </c>
      <c r="D117" s="1" t="s">
        <v>14</v>
      </c>
      <c r="E117" s="1" t="s">
        <v>219</v>
      </c>
      <c r="F117" s="1" t="n">
        <v>1</v>
      </c>
      <c r="G117" s="1" t="n">
        <v>75</v>
      </c>
      <c r="H117" s="1" t="n">
        <f aca="false">F117*G117</f>
        <v>75</v>
      </c>
    </row>
    <row r="118" customFormat="false" ht="15" hidden="false" customHeight="true" outlineLevel="0" collapsed="false">
      <c r="A118" s="1" t="s">
        <v>220</v>
      </c>
      <c r="B118" s="1" t="s">
        <v>12</v>
      </c>
      <c r="C118" s="1" t="s">
        <v>221</v>
      </c>
      <c r="D118" s="1" t="s">
        <v>14</v>
      </c>
      <c r="E118" s="1" t="s">
        <v>222</v>
      </c>
      <c r="F118" s="1" t="n">
        <v>1</v>
      </c>
      <c r="G118" s="1" t="n">
        <v>39</v>
      </c>
      <c r="H118" s="1" t="n">
        <f aca="false">F118*G118</f>
        <v>39</v>
      </c>
    </row>
    <row r="119" customFormat="false" ht="15" hidden="false" customHeight="true" outlineLevel="0" collapsed="false">
      <c r="A119" s="1" t="s">
        <v>223</v>
      </c>
      <c r="B119" s="1" t="s">
        <v>12</v>
      </c>
      <c r="C119" s="1" t="s">
        <v>224</v>
      </c>
      <c r="D119" s="1" t="s">
        <v>14</v>
      </c>
      <c r="E119" s="1" t="s">
        <v>222</v>
      </c>
      <c r="F119" s="1" t="n">
        <v>1</v>
      </c>
      <c r="G119" s="1" t="n">
        <v>25</v>
      </c>
      <c r="H119" s="1" t="n">
        <f aca="false">F119*G119</f>
        <v>25</v>
      </c>
    </row>
    <row r="120" customFormat="false" ht="15" hidden="false" customHeight="true" outlineLevel="0" collapsed="false">
      <c r="A120" s="1" t="s">
        <v>225</v>
      </c>
      <c r="B120" s="1" t="s">
        <v>12</v>
      </c>
      <c r="C120" s="1" t="s">
        <v>226</v>
      </c>
      <c r="D120" s="1" t="s">
        <v>14</v>
      </c>
      <c r="E120" s="1" t="s">
        <v>222</v>
      </c>
      <c r="F120" s="1" t="n">
        <v>1</v>
      </c>
      <c r="G120" s="1" t="n">
        <v>35.99</v>
      </c>
      <c r="H120" s="1" t="n">
        <f aca="false">F120*G120</f>
        <v>35.99</v>
      </c>
    </row>
    <row r="121" customFormat="false" ht="15" hidden="false" customHeight="true" outlineLevel="0" collapsed="false">
      <c r="A121" s="1" t="s">
        <v>227</v>
      </c>
      <c r="B121" s="1" t="s">
        <v>12</v>
      </c>
      <c r="C121" s="1" t="s">
        <v>228</v>
      </c>
      <c r="D121" s="1" t="s">
        <v>14</v>
      </c>
      <c r="E121" s="1" t="s">
        <v>222</v>
      </c>
      <c r="F121" s="1" t="n">
        <v>1</v>
      </c>
      <c r="G121" s="1" t="n">
        <v>7.99</v>
      </c>
      <c r="H121" s="1" t="n">
        <f aca="false">F121*G121</f>
        <v>7.99</v>
      </c>
    </row>
    <row r="122" customFormat="false" ht="15" hidden="false" customHeight="true" outlineLevel="0" collapsed="false">
      <c r="A122" s="1" t="s">
        <v>229</v>
      </c>
      <c r="B122" s="1" t="s">
        <v>12</v>
      </c>
      <c r="C122" s="1" t="s">
        <v>230</v>
      </c>
      <c r="D122" s="1" t="s">
        <v>14</v>
      </c>
      <c r="E122" s="1" t="s">
        <v>222</v>
      </c>
      <c r="F122" s="1" t="n">
        <v>1</v>
      </c>
      <c r="G122" s="1" t="n">
        <v>15.99</v>
      </c>
      <c r="H122" s="1" t="n">
        <f aca="false">F122*G122</f>
        <v>15.99</v>
      </c>
    </row>
    <row r="123" customFormat="false" ht="15" hidden="false" customHeight="true" outlineLevel="0" collapsed="false">
      <c r="A123" s="1" t="s">
        <v>231</v>
      </c>
      <c r="B123" s="1" t="s">
        <v>12</v>
      </c>
      <c r="C123" s="1" t="s">
        <v>232</v>
      </c>
      <c r="D123" s="1" t="s">
        <v>14</v>
      </c>
      <c r="E123" s="1" t="s">
        <v>233</v>
      </c>
      <c r="F123" s="1" t="n">
        <v>1</v>
      </c>
      <c r="G123" s="1" t="n">
        <v>9.99</v>
      </c>
      <c r="H123" s="1" t="n">
        <f aca="false">F123*G123</f>
        <v>9.99</v>
      </c>
    </row>
    <row r="124" customFormat="false" ht="15" hidden="false" customHeight="true" outlineLevel="0" collapsed="false">
      <c r="A124" s="1" t="s">
        <v>28</v>
      </c>
      <c r="H124" s="1" t="n">
        <f aca="false">SUM(H115:H123)</f>
        <v>217.95</v>
      </c>
    </row>
  </sheetData>
  <hyperlinks>
    <hyperlink ref="D6" r:id="rId1" display="Buy"/>
    <hyperlink ref="D7" r:id="rId2" display="Buy"/>
    <hyperlink ref="D8" r:id="rId3" display="Buy"/>
    <hyperlink ref="D9" r:id="rId4" display="Buy"/>
    <hyperlink ref="D10" r:id="rId5" display="Buy"/>
    <hyperlink ref="D15" r:id="rId6" display="Buy"/>
    <hyperlink ref="D16" r:id="rId7" display="Buy"/>
    <hyperlink ref="D17" r:id="rId8" display="Buy"/>
    <hyperlink ref="D18" r:id="rId9" display="Buy"/>
    <hyperlink ref="D19" r:id="rId10" display="Buy"/>
    <hyperlink ref="D20" r:id="rId11" display="Buy"/>
    <hyperlink ref="D25" r:id="rId12" display="Buy"/>
    <hyperlink ref="D26" r:id="rId13" display="Buy"/>
    <hyperlink ref="D27" r:id="rId14" display="Buy"/>
    <hyperlink ref="D28" r:id="rId15" display="Buy"/>
    <hyperlink ref="D33" r:id="rId16" display="Buy"/>
    <hyperlink ref="D34" r:id="rId17" display="Buy"/>
    <hyperlink ref="D35" r:id="rId18" display="Buy"/>
    <hyperlink ref="D41" r:id="rId19" display="Buy"/>
    <hyperlink ref="D42" r:id="rId20" display="Buy"/>
    <hyperlink ref="D43" r:id="rId21" display="Buy"/>
    <hyperlink ref="D44" r:id="rId22" display="Buy"/>
    <hyperlink ref="D45" r:id="rId23" display="Buy"/>
    <hyperlink ref="D46" r:id="rId24" display="Buy"/>
    <hyperlink ref="D51" r:id="rId25" display="Buy"/>
    <hyperlink ref="D52" r:id="rId26" display="Buy"/>
    <hyperlink ref="D53" r:id="rId27" display="Buy"/>
    <hyperlink ref="D54" r:id="rId28" display="Buy"/>
    <hyperlink ref="D55" r:id="rId29" display="Buy"/>
    <hyperlink ref="D60" r:id="rId30" display="Buy"/>
    <hyperlink ref="D61" r:id="rId31" display="Buy"/>
    <hyperlink ref="D62" r:id="rId32" display="Buy"/>
    <hyperlink ref="D63" r:id="rId33" display="Buy"/>
    <hyperlink ref="D64" r:id="rId34" display="Buy"/>
    <hyperlink ref="D65" r:id="rId35" display="Buy"/>
    <hyperlink ref="D66" r:id="rId36" display="Buy"/>
    <hyperlink ref="D67" r:id="rId37" display="Buy"/>
    <hyperlink ref="D68" r:id="rId38" display="Buy"/>
    <hyperlink ref="D69" r:id="rId39" display="Buy"/>
    <hyperlink ref="D70" r:id="rId40" display="Buy"/>
    <hyperlink ref="D71" r:id="rId41" display="Buy"/>
    <hyperlink ref="D72" r:id="rId42" display="Buy"/>
    <hyperlink ref="D77" r:id="rId43" display="Buy"/>
    <hyperlink ref="D78" r:id="rId44" display="Buy"/>
    <hyperlink ref="D79" r:id="rId45" display="Buy"/>
    <hyperlink ref="D80" r:id="rId46" display="Buy"/>
    <hyperlink ref="D81" r:id="rId47" display="Buy"/>
    <hyperlink ref="D82" r:id="rId48" display="Bu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8" min="7" style="1" width="10"/>
  </cols>
  <sheetData>
    <row r="1" customFormat="false" ht="15.75" hidden="false" customHeight="true" outlineLevel="0" collapsed="false">
      <c r="A1" s="24" t="s">
        <v>234</v>
      </c>
    </row>
    <row r="3" customFormat="false" ht="15" hidden="false" customHeight="true" outlineLevel="0" collapsed="false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7" t="s">
        <v>8</v>
      </c>
      <c r="G3" s="7" t="s">
        <v>235</v>
      </c>
      <c r="H3" s="7" t="s">
        <v>10</v>
      </c>
    </row>
    <row r="4" customFormat="false" ht="15" hidden="false" customHeight="true" outlineLevel="0" collapsed="false">
      <c r="A4" s="8" t="s">
        <v>236</v>
      </c>
      <c r="B4" s="9" t="s">
        <v>92</v>
      </c>
      <c r="C4" s="9" t="s">
        <v>237</v>
      </c>
      <c r="D4" s="10" t="s">
        <v>6</v>
      </c>
      <c r="E4" s="11"/>
      <c r="F4" s="12" t="n">
        <v>2</v>
      </c>
      <c r="G4" s="13" t="n">
        <v>12.795</v>
      </c>
      <c r="H4" s="13" t="n">
        <f aca="false">F4*G4</f>
        <v>25.59</v>
      </c>
    </row>
    <row r="5" customFormat="false" ht="15" hidden="false" customHeight="true" outlineLevel="0" collapsed="false">
      <c r="A5" s="8" t="s">
        <v>238</v>
      </c>
      <c r="B5" s="9" t="s">
        <v>92</v>
      </c>
      <c r="C5" s="9" t="s">
        <v>239</v>
      </c>
      <c r="D5" s="10" t="s">
        <v>6</v>
      </c>
      <c r="E5" s="11"/>
      <c r="F5" s="12" t="n">
        <v>1</v>
      </c>
      <c r="G5" s="13" t="n">
        <v>19.99</v>
      </c>
      <c r="H5" s="13" t="n">
        <f aca="false">F5*G5</f>
        <v>19.99</v>
      </c>
    </row>
    <row r="6" customFormat="false" ht="15" hidden="false" customHeight="true" outlineLevel="0" collapsed="false">
      <c r="A6" s="8" t="s">
        <v>240</v>
      </c>
      <c r="B6" s="9" t="s">
        <v>92</v>
      </c>
      <c r="C6" s="9" t="s">
        <v>239</v>
      </c>
      <c r="D6" s="10" t="s">
        <v>6</v>
      </c>
      <c r="E6" s="11"/>
      <c r="F6" s="12" t="n">
        <v>1</v>
      </c>
      <c r="G6" s="13" t="n">
        <v>19.99</v>
      </c>
      <c r="H6" s="13" t="n">
        <f aca="false">F6*G6</f>
        <v>19.99</v>
      </c>
    </row>
    <row r="7" customFormat="false" ht="23.25" hidden="false" customHeight="true" outlineLevel="0" collapsed="false">
      <c r="A7" s="8" t="s">
        <v>241</v>
      </c>
      <c r="B7" s="9" t="s">
        <v>12</v>
      </c>
      <c r="C7" s="9" t="s">
        <v>242</v>
      </c>
      <c r="D7" s="10" t="s">
        <v>6</v>
      </c>
      <c r="E7" s="11" t="s">
        <v>243</v>
      </c>
      <c r="F7" s="12" t="n">
        <v>3</v>
      </c>
      <c r="G7" s="13" t="n">
        <v>9</v>
      </c>
      <c r="H7" s="13" t="n">
        <f aca="false">F7*G7</f>
        <v>27</v>
      </c>
    </row>
    <row r="8" customFormat="false" ht="15" hidden="false" customHeight="true" outlineLevel="0" collapsed="false">
      <c r="A8" s="8" t="s">
        <v>244</v>
      </c>
      <c r="B8" s="9" t="s">
        <v>12</v>
      </c>
      <c r="C8" s="9" t="s">
        <v>245</v>
      </c>
      <c r="D8" s="10" t="s">
        <v>6</v>
      </c>
      <c r="E8" s="11" t="s">
        <v>246</v>
      </c>
      <c r="F8" s="12" t="n">
        <v>1</v>
      </c>
      <c r="G8" s="13" t="n">
        <v>25</v>
      </c>
      <c r="H8" s="13" t="n">
        <f aca="false">F8*G8</f>
        <v>25</v>
      </c>
    </row>
    <row r="9" customFormat="false" ht="15" hidden="false" customHeight="true" outlineLevel="0" collapsed="false">
      <c r="A9" s="8" t="s">
        <v>247</v>
      </c>
      <c r="B9" s="9" t="s">
        <v>12</v>
      </c>
      <c r="C9" s="9" t="s">
        <v>248</v>
      </c>
      <c r="D9" s="10" t="s">
        <v>6</v>
      </c>
      <c r="E9" s="11"/>
      <c r="F9" s="12" t="n">
        <v>1</v>
      </c>
      <c r="G9" s="13" t="n">
        <v>7</v>
      </c>
      <c r="H9" s="13" t="n">
        <f aca="false">F9*G9</f>
        <v>7</v>
      </c>
    </row>
    <row r="10" customFormat="false" ht="15" hidden="false" customHeight="true" outlineLevel="0" collapsed="false">
      <c r="A10" s="8" t="s">
        <v>249</v>
      </c>
      <c r="B10" s="9" t="s">
        <v>12</v>
      </c>
      <c r="C10" s="9" t="s">
        <v>250</v>
      </c>
      <c r="D10" s="10" t="s">
        <v>6</v>
      </c>
      <c r="E10" s="11"/>
      <c r="F10" s="12" t="n">
        <v>1</v>
      </c>
      <c r="G10" s="13" t="n">
        <v>6</v>
      </c>
      <c r="H10" s="13" t="n">
        <f aca="false">F10*G10</f>
        <v>6</v>
      </c>
    </row>
    <row r="11" customFormat="false" ht="15" hidden="false" customHeight="true" outlineLevel="0" collapsed="false">
      <c r="A11" s="8" t="s">
        <v>251</v>
      </c>
      <c r="B11" s="9" t="s">
        <v>12</v>
      </c>
      <c r="C11" s="9" t="s">
        <v>252</v>
      </c>
      <c r="D11" s="10" t="s">
        <v>6</v>
      </c>
      <c r="E11" s="11" t="s">
        <v>253</v>
      </c>
      <c r="F11" s="12" t="n">
        <v>1</v>
      </c>
      <c r="G11" s="13" t="n">
        <v>16</v>
      </c>
      <c r="H11" s="13" t="n">
        <f aca="false">F11*G11</f>
        <v>16</v>
      </c>
    </row>
    <row r="12" customFormat="false" ht="15" hidden="false" customHeight="true" outlineLevel="0" collapsed="false">
      <c r="A12" s="8" t="s">
        <v>254</v>
      </c>
      <c r="B12" s="9" t="s">
        <v>12</v>
      </c>
      <c r="C12" s="9" t="s">
        <v>255</v>
      </c>
      <c r="D12" s="10" t="s">
        <v>6</v>
      </c>
      <c r="E12" s="11"/>
      <c r="F12" s="12" t="n">
        <v>1</v>
      </c>
      <c r="G12" s="13" t="n">
        <v>12</v>
      </c>
      <c r="H12" s="13" t="n">
        <f aca="false">F12*G12</f>
        <v>12</v>
      </c>
    </row>
    <row r="13" customFormat="false" ht="15" hidden="false" customHeight="true" outlineLevel="0" collapsed="false">
      <c r="A13" s="8" t="s">
        <v>256</v>
      </c>
      <c r="B13" s="9" t="s">
        <v>12</v>
      </c>
      <c r="C13" s="9" t="s">
        <v>257</v>
      </c>
      <c r="D13" s="10" t="s">
        <v>6</v>
      </c>
      <c r="E13" s="11"/>
      <c r="F13" s="12" t="n">
        <v>1</v>
      </c>
      <c r="G13" s="13" t="n">
        <v>15</v>
      </c>
      <c r="H13" s="13" t="n">
        <f aca="false">F13*G13</f>
        <v>15</v>
      </c>
    </row>
    <row r="14" customFormat="false" ht="15" hidden="false" customHeight="true" outlineLevel="0" collapsed="false">
      <c r="A14" s="8" t="s">
        <v>258</v>
      </c>
      <c r="B14" s="9" t="s">
        <v>12</v>
      </c>
      <c r="C14" s="9" t="s">
        <v>259</v>
      </c>
      <c r="D14" s="10" t="s">
        <v>6</v>
      </c>
      <c r="E14" s="11" t="s">
        <v>260</v>
      </c>
      <c r="F14" s="12" t="n">
        <v>1</v>
      </c>
      <c r="G14" s="13" t="n">
        <v>21</v>
      </c>
      <c r="H14" s="13" t="n">
        <f aca="false">F14*G14</f>
        <v>21</v>
      </c>
    </row>
    <row r="15" customFormat="false" ht="15" hidden="false" customHeight="true" outlineLevel="0" collapsed="false">
      <c r="A15" s="8" t="s">
        <v>261</v>
      </c>
      <c r="B15" s="9" t="s">
        <v>12</v>
      </c>
      <c r="C15" s="9" t="s">
        <v>262</v>
      </c>
      <c r="D15" s="10" t="s">
        <v>6</v>
      </c>
      <c r="E15" s="11"/>
      <c r="F15" s="12" t="n">
        <v>1</v>
      </c>
      <c r="G15" s="13" t="n">
        <v>11</v>
      </c>
      <c r="H15" s="13" t="n">
        <f aca="false">F15*G15</f>
        <v>11</v>
      </c>
    </row>
    <row r="16" customFormat="false" ht="15" hidden="false" customHeight="true" outlineLevel="0" collapsed="false">
      <c r="A16" s="8" t="s">
        <v>263</v>
      </c>
      <c r="B16" s="9" t="s">
        <v>12</v>
      </c>
      <c r="C16" s="9" t="s">
        <v>264</v>
      </c>
      <c r="D16" s="10" t="s">
        <v>6</v>
      </c>
      <c r="E16" s="11" t="s">
        <v>265</v>
      </c>
      <c r="F16" s="12" t="n">
        <v>1</v>
      </c>
      <c r="G16" s="13" t="n">
        <v>10</v>
      </c>
      <c r="H16" s="13" t="n">
        <f aca="false">F16*G16</f>
        <v>10</v>
      </c>
    </row>
    <row r="17" customFormat="false" ht="15" hidden="false" customHeight="true" outlineLevel="0" collapsed="false">
      <c r="A17" s="8" t="s">
        <v>266</v>
      </c>
      <c r="B17" s="9" t="s">
        <v>12</v>
      </c>
      <c r="C17" s="9" t="s">
        <v>267</v>
      </c>
      <c r="D17" s="10" t="s">
        <v>6</v>
      </c>
      <c r="E17" s="11" t="s">
        <v>265</v>
      </c>
      <c r="F17" s="12" t="n">
        <v>2</v>
      </c>
      <c r="G17" s="13" t="n">
        <v>9</v>
      </c>
      <c r="H17" s="13" t="n">
        <f aca="false">F17*G17</f>
        <v>18</v>
      </c>
    </row>
    <row r="18" customFormat="false" ht="15" hidden="false" customHeight="true" outlineLevel="0" collapsed="false">
      <c r="A18" s="8" t="s">
        <v>268</v>
      </c>
      <c r="B18" s="9" t="s">
        <v>17</v>
      </c>
      <c r="C18" s="9" t="s">
        <v>269</v>
      </c>
      <c r="D18" s="10" t="s">
        <v>6</v>
      </c>
      <c r="E18" s="11" t="s">
        <v>265</v>
      </c>
      <c r="F18" s="12" t="n">
        <v>2</v>
      </c>
      <c r="G18" s="13" t="n">
        <v>22.5</v>
      </c>
      <c r="H18" s="13" t="n">
        <f aca="false">F18*G18</f>
        <v>45</v>
      </c>
    </row>
    <row r="19" customFormat="false" ht="15" hidden="false" customHeight="true" outlineLevel="0" collapsed="false">
      <c r="A19" s="8" t="s">
        <v>270</v>
      </c>
      <c r="B19" s="9" t="s">
        <v>271</v>
      </c>
      <c r="C19" s="9" t="s">
        <v>272</v>
      </c>
      <c r="D19" s="10" t="s">
        <v>6</v>
      </c>
      <c r="E19" s="11" t="s">
        <v>265</v>
      </c>
      <c r="F19" s="12" t="n">
        <v>1</v>
      </c>
      <c r="G19" s="13" t="n">
        <v>40</v>
      </c>
      <c r="H19" s="13" t="n">
        <f aca="false">F19*G19</f>
        <v>40</v>
      </c>
    </row>
    <row r="20" customFormat="false" ht="23.25" hidden="false" customHeight="true" outlineLevel="0" collapsed="false">
      <c r="A20" s="8" t="s">
        <v>273</v>
      </c>
      <c r="B20" s="9" t="s">
        <v>274</v>
      </c>
      <c r="C20" s="9" t="s">
        <v>275</v>
      </c>
      <c r="D20" s="10" t="s">
        <v>6</v>
      </c>
      <c r="E20" s="11" t="s">
        <v>276</v>
      </c>
      <c r="F20" s="12" t="n">
        <v>4</v>
      </c>
      <c r="G20" s="13" t="n">
        <v>1.6</v>
      </c>
      <c r="H20" s="13" t="n">
        <f aca="false">F20*G20</f>
        <v>6.4</v>
      </c>
    </row>
    <row r="21" customFormat="false" ht="23.25" hidden="false" customHeight="true" outlineLevel="0" collapsed="false">
      <c r="A21" s="8" t="s">
        <v>277</v>
      </c>
      <c r="B21" s="9" t="s">
        <v>12</v>
      </c>
      <c r="C21" s="9" t="s">
        <v>278</v>
      </c>
      <c r="D21" s="10" t="s">
        <v>6</v>
      </c>
      <c r="E21" s="11" t="s">
        <v>279</v>
      </c>
      <c r="F21" s="12" t="n">
        <v>3</v>
      </c>
      <c r="G21" s="13" t="n">
        <v>11.6</v>
      </c>
      <c r="H21" s="13" t="n">
        <f aca="false">F21*G21</f>
        <v>34.8</v>
      </c>
    </row>
    <row r="22" customFormat="false" ht="23.25" hidden="false" customHeight="true" outlineLevel="0" collapsed="false">
      <c r="A22" s="8" t="s">
        <v>280</v>
      </c>
      <c r="B22" s="9" t="s">
        <v>12</v>
      </c>
      <c r="C22" s="9" t="s">
        <v>281</v>
      </c>
      <c r="D22" s="10" t="s">
        <v>6</v>
      </c>
      <c r="E22" s="11" t="s">
        <v>282</v>
      </c>
      <c r="F22" s="12" t="n">
        <v>1</v>
      </c>
      <c r="G22" s="13" t="n">
        <v>9</v>
      </c>
      <c r="H22" s="13" t="n">
        <f aca="false">F22*G22</f>
        <v>9</v>
      </c>
    </row>
    <row r="23" customFormat="false" ht="23.25" hidden="false" customHeight="true" outlineLevel="0" collapsed="false">
      <c r="A23" s="8" t="s">
        <v>283</v>
      </c>
      <c r="B23" s="9" t="s">
        <v>17</v>
      </c>
      <c r="C23" s="9" t="s">
        <v>284</v>
      </c>
      <c r="D23" s="10" t="s">
        <v>6</v>
      </c>
      <c r="E23" s="11" t="s">
        <v>285</v>
      </c>
      <c r="F23" s="12" t="n">
        <v>1</v>
      </c>
      <c r="G23" s="13" t="n">
        <v>6</v>
      </c>
      <c r="H23" s="13" t="n">
        <f aca="false">F23*G23</f>
        <v>6</v>
      </c>
    </row>
    <row r="24" customFormat="false" ht="23.25" hidden="false" customHeight="true" outlineLevel="0" collapsed="false">
      <c r="A24" s="8" t="s">
        <v>286</v>
      </c>
      <c r="B24" s="9" t="s">
        <v>17</v>
      </c>
      <c r="C24" s="9" t="s">
        <v>287</v>
      </c>
      <c r="D24" s="10" t="s">
        <v>6</v>
      </c>
      <c r="E24" s="11" t="s">
        <v>288</v>
      </c>
      <c r="F24" s="12" t="n">
        <v>6</v>
      </c>
      <c r="G24" s="13" t="n">
        <v>15</v>
      </c>
      <c r="H24" s="13" t="n">
        <f aca="false">F24*G24</f>
        <v>90</v>
      </c>
    </row>
    <row r="25" customFormat="false" ht="15" hidden="false" customHeight="true" outlineLevel="0" collapsed="false">
      <c r="A25" s="8" t="s">
        <v>289</v>
      </c>
      <c r="B25" s="9" t="s">
        <v>17</v>
      </c>
      <c r="C25" s="9" t="s">
        <v>290</v>
      </c>
      <c r="D25" s="10" t="s">
        <v>6</v>
      </c>
      <c r="E25" s="11" t="s">
        <v>291</v>
      </c>
      <c r="F25" s="12" t="n">
        <v>1</v>
      </c>
      <c r="G25" s="13" t="n">
        <v>7</v>
      </c>
      <c r="H25" s="13" t="n">
        <f aca="false">F25*G25</f>
        <v>7</v>
      </c>
    </row>
    <row r="26" customFormat="false" ht="15" hidden="false" customHeight="true" outlineLevel="0" collapsed="false">
      <c r="A26" s="8" t="s">
        <v>292</v>
      </c>
      <c r="B26" s="9" t="s">
        <v>17</v>
      </c>
      <c r="C26" s="9" t="s">
        <v>293</v>
      </c>
      <c r="D26" s="10" t="s">
        <v>6</v>
      </c>
      <c r="E26" s="11" t="s">
        <v>291</v>
      </c>
      <c r="F26" s="12" t="n">
        <v>6</v>
      </c>
      <c r="G26" s="13" t="n">
        <v>1.25</v>
      </c>
      <c r="H26" s="13" t="n">
        <f aca="false">F26*G26</f>
        <v>7.5</v>
      </c>
    </row>
    <row r="27" customFormat="false" ht="15" hidden="false" customHeight="true" outlineLevel="0" collapsed="false">
      <c r="A27" s="25" t="s">
        <v>294</v>
      </c>
      <c r="B27" s="26"/>
      <c r="C27" s="26"/>
      <c r="D27" s="26"/>
      <c r="E27" s="26"/>
      <c r="F27" s="26"/>
      <c r="G27" s="26"/>
      <c r="H27" s="27" t="n">
        <f aca="false">SUM(H4:H26)</f>
        <v>479.27</v>
      </c>
    </row>
  </sheetData>
  <hyperlinks>
    <hyperlink ref="D4" r:id="rId1" display="Link"/>
    <hyperlink ref="D5" r:id="rId2" display="Link"/>
    <hyperlink ref="D6" r:id="rId3" display="Link"/>
    <hyperlink ref="D7" r:id="rId4" display="Link"/>
    <hyperlink ref="D8" r:id="rId5" display="Link"/>
    <hyperlink ref="D9" r:id="rId6" display="Link"/>
    <hyperlink ref="D10" r:id="rId7" display="Link"/>
    <hyperlink ref="D11" r:id="rId8" display="Link"/>
    <hyperlink ref="D12" r:id="rId9" display="Link"/>
    <hyperlink ref="D13" r:id="rId10" display="Link"/>
    <hyperlink ref="D14" r:id="rId11" display="Link"/>
    <hyperlink ref="D15" r:id="rId12" display="Link"/>
    <hyperlink ref="D16" r:id="rId13" display="Link"/>
    <hyperlink ref="D17" r:id="rId14" display="Link"/>
    <hyperlink ref="D18" r:id="rId15" display="Link"/>
    <hyperlink ref="D19" r:id="rId16" display="Link"/>
    <hyperlink ref="D20" r:id="rId17" display="Link"/>
    <hyperlink ref="D21" r:id="rId18" display="Link"/>
    <hyperlink ref="D22" r:id="rId19" display="Link"/>
    <hyperlink ref="D23" r:id="rId20" display="Link"/>
    <hyperlink ref="D24" r:id="rId21" display="Link"/>
    <hyperlink ref="D25" r:id="rId22" display="Link"/>
    <hyperlink ref="D26" r:id="rId23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4"/>
  </cols>
  <sheetData>
    <row r="1" customFormat="false" ht="15.75" hidden="false" customHeight="true" outlineLevel="0" collapsed="false">
      <c r="A1" s="24" t="s">
        <v>295</v>
      </c>
    </row>
    <row r="3" customFormat="false" ht="15" hidden="false" customHeight="true" outlineLevel="0" collapsed="false">
      <c r="A3" s="20" t="s">
        <v>2</v>
      </c>
      <c r="B3" s="28" t="n">
        <f aca="false">BOM!H11</f>
        <v>113.8</v>
      </c>
    </row>
    <row r="4" customFormat="false" ht="15" hidden="false" customHeight="true" outlineLevel="0" collapsed="false">
      <c r="A4" s="20" t="s">
        <v>29</v>
      </c>
      <c r="B4" s="28" t="n">
        <f aca="false">BOM!H21</f>
        <v>29.88</v>
      </c>
    </row>
    <row r="5" customFormat="false" ht="15" hidden="false" customHeight="true" outlineLevel="0" collapsed="false">
      <c r="A5" s="20" t="s">
        <v>44</v>
      </c>
      <c r="B5" s="28" t="n">
        <f aca="false">BOM!H29</f>
        <v>86.94</v>
      </c>
    </row>
    <row r="6" customFormat="false" ht="15" hidden="false" customHeight="true" outlineLevel="0" collapsed="false">
      <c r="A6" s="20" t="s">
        <v>55</v>
      </c>
      <c r="B6" s="28" t="n">
        <f aca="false">BOM!H37</f>
        <v>23.63</v>
      </c>
    </row>
    <row r="7" customFormat="false" ht="15" hidden="false" customHeight="true" outlineLevel="0" collapsed="false">
      <c r="A7" s="20" t="s">
        <v>69</v>
      </c>
      <c r="B7" s="28" t="n">
        <f aca="false">BOM!H47</f>
        <v>209.55</v>
      </c>
    </row>
    <row r="8" customFormat="false" ht="15" hidden="false" customHeight="true" outlineLevel="0" collapsed="false">
      <c r="A8" s="20" t="s">
        <v>87</v>
      </c>
      <c r="B8" s="28" t="n">
        <f aca="false">BOM!H56</f>
        <v>163.75</v>
      </c>
    </row>
    <row r="9" customFormat="false" ht="15" hidden="false" customHeight="true" outlineLevel="0" collapsed="false">
      <c r="A9" s="20" t="s">
        <v>102</v>
      </c>
      <c r="B9" s="28" t="n">
        <f aca="false">BOM!H84</f>
        <v>21.49</v>
      </c>
    </row>
    <row r="10" customFormat="false" ht="15" hidden="false" customHeight="true" outlineLevel="0" collapsed="false">
      <c r="A10" s="20" t="s">
        <v>164</v>
      </c>
      <c r="B10" s="28" t="n">
        <f aca="false">BOM!H94</f>
        <v>46.16</v>
      </c>
    </row>
    <row r="11" customFormat="false" ht="15" hidden="false" customHeight="true" outlineLevel="0" collapsed="false">
      <c r="A11" s="1" t="s">
        <v>184</v>
      </c>
      <c r="B11" s="1" t="n">
        <f aca="false">BOM!H111</f>
        <v>293.43</v>
      </c>
    </row>
    <row r="12" customFormat="false" ht="15" hidden="false" customHeight="true" outlineLevel="0" collapsed="false">
      <c r="A12" s="1" t="s">
        <v>210</v>
      </c>
      <c r="B12" s="1" t="n">
        <f aca="false">BOM!H124</f>
        <v>217.95</v>
      </c>
    </row>
    <row r="13" customFormat="false" ht="15" hidden="false" customHeight="true" outlineLevel="0" collapsed="false">
      <c r="A13" s="29" t="s">
        <v>296</v>
      </c>
      <c r="B13" s="30" t="n">
        <f aca="false">BOM!H96</f>
        <v>1206.58</v>
      </c>
    </row>
    <row r="14" customFormat="false" ht="15" hidden="false" customHeight="true" outlineLevel="0" collapsed="false">
      <c r="A14" s="20" t="s">
        <v>297</v>
      </c>
      <c r="B14" s="21" t="n">
        <f aca="false">-39.6</f>
        <v>-39.6</v>
      </c>
    </row>
    <row r="15" customFormat="false" ht="15" hidden="false" customHeight="true" outlineLevel="0" collapsed="false">
      <c r="A15" s="31" t="s">
        <v>183</v>
      </c>
      <c r="B15" s="32" t="n">
        <f aca="false">BOM!H98</f>
        <v>1166.98</v>
      </c>
    </row>
    <row r="16" customFormat="false" ht="15" hidden="false" customHeight="true" outlineLevel="0" collapsed="false"/>
    <row r="17" customFormat="false" ht="15" hidden="false" customHeight="true" outlineLevel="0" collapsed="false">
      <c r="A17" s="29" t="s">
        <v>298</v>
      </c>
      <c r="B17" s="30" t="n">
        <f aca="false">'Already Acquired'!H27</f>
        <v>479.27</v>
      </c>
    </row>
    <row r="18" customFormat="false" ht="15" hidden="false" customHeight="true" outlineLevel="0" collapsed="false">
      <c r="A18" s="20" t="s">
        <v>299</v>
      </c>
      <c r="B18" s="28" t="n">
        <f aca="false">B15+B17</f>
        <v>1646.25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2026-07-15T12:23:23Z</dcterms:created>
  <dc:creator>openpyxl</dc:creator>
  <dc:description/>
  <dc:language>en-US</dc:language>
  <cp:lastModifiedBy/>
  <dcterms:modified xsi:type="dcterms:W3CDTF">2026-08-10T21:53:43Z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